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0" documentId="8_{DB836202-59CC-4EED-A454-F0D13319E9A1}" xr6:coauthVersionLast="47" xr6:coauthVersionMax="47" xr10:uidLastSave="{00000000-0000-0000-0000-000000000000}"/>
  <bookViews>
    <workbookView xWindow="0" yWindow="0" windowWidth="16384" windowHeight="8192" tabRatio="500" firstSheet="1" xr2:uid="{00000000-000D-0000-FFFF-FFFF00000000}"/>
  </bookViews>
  <sheets>
    <sheet name="Test Summary Report" sheetId="7" r:id="rId1"/>
    <sheet name="Test Execution Results" sheetId="2" r:id="rId2"/>
    <sheet name="Bug Reports" sheetId="1" r:id="rId3"/>
    <sheet name="Detailed Test Cases" sheetId="5"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 i="2" l="1"/>
  <c r="C48" i="2"/>
  <c r="C72" i="2"/>
  <c r="C34" i="2"/>
  <c r="C3" i="2"/>
  <c r="C4" i="2"/>
  <c r="C5" i="2"/>
  <c r="C6" i="2"/>
  <c r="C7" i="2"/>
  <c r="C8" i="2"/>
  <c r="C9" i="2"/>
  <c r="C11" i="2"/>
  <c r="C12" i="2"/>
  <c r="C13" i="2"/>
  <c r="C14" i="2"/>
  <c r="C15" i="2"/>
  <c r="C16" i="2"/>
  <c r="C17" i="2"/>
  <c r="C18" i="2"/>
  <c r="C19" i="2"/>
  <c r="C20" i="2"/>
  <c r="C21" i="2"/>
  <c r="C22" i="2"/>
  <c r="C23" i="2"/>
  <c r="C24" i="2"/>
  <c r="C25" i="2"/>
  <c r="C26" i="2"/>
  <c r="C27" i="2"/>
  <c r="C28" i="2"/>
  <c r="C29" i="2"/>
  <c r="C30" i="2"/>
  <c r="C31" i="2"/>
  <c r="C32" i="2"/>
  <c r="C33" i="2"/>
  <c r="C35" i="2"/>
  <c r="C36" i="2"/>
  <c r="C37" i="2"/>
  <c r="C38" i="2"/>
  <c r="C39" i="2"/>
  <c r="C40" i="2"/>
  <c r="C41" i="2"/>
  <c r="C42" i="2"/>
  <c r="C43" i="2"/>
  <c r="C44" i="2"/>
  <c r="C45" i="2"/>
  <c r="C46" i="2"/>
  <c r="C47" i="2"/>
  <c r="C49" i="2"/>
  <c r="C50" i="2"/>
  <c r="C51" i="2"/>
  <c r="C52" i="2"/>
  <c r="C53" i="2"/>
  <c r="C54" i="2"/>
  <c r="C55" i="2"/>
  <c r="C56" i="2"/>
  <c r="C57" i="2"/>
  <c r="C58" i="2"/>
  <c r="C59" i="2"/>
  <c r="C60" i="2"/>
  <c r="C61" i="2"/>
  <c r="C62" i="2"/>
  <c r="C63" i="2"/>
  <c r="C64" i="2"/>
  <c r="C65" i="2"/>
  <c r="C66" i="2"/>
  <c r="C67" i="2"/>
  <c r="C68" i="2"/>
  <c r="C69" i="2"/>
  <c r="C70" i="2"/>
  <c r="C71"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2" i="2"/>
</calcChain>
</file>

<file path=xl/sharedStrings.xml><?xml version="1.0" encoding="utf-8"?>
<sst xmlns="http://schemas.openxmlformats.org/spreadsheetml/2006/main" count="552" uniqueCount="405">
  <si>
    <r>
      <rPr>
        <b/>
        <sz val="13.5"/>
        <color rgb="FFFFFFFF"/>
        <rFont val="Arial"/>
        <family val="2"/>
      </rPr>
      <t>Test Summary Report</t>
    </r>
  </si>
  <si>
    <r>
      <rPr>
        <b/>
        <sz val="10.5"/>
        <color rgb="FFFFFFFF"/>
        <rFont val="Arial"/>
        <family val="2"/>
      </rPr>
      <t>1. Project Information</t>
    </r>
  </si>
  <si>
    <r>
      <rPr>
        <b/>
        <sz val="9.5"/>
        <rFont val="Arial"/>
        <family val="2"/>
      </rPr>
      <t>Project Name</t>
    </r>
  </si>
  <si>
    <t>Rahal Tour - Travel Booking Application (TravelApp)</t>
  </si>
  <si>
    <r>
      <rPr>
        <b/>
        <sz val="9.5"/>
        <rFont val="Arial"/>
        <family val="2"/>
      </rPr>
      <t>Tester</t>
    </r>
  </si>
  <si>
    <r>
      <rPr>
        <sz val="11"/>
        <rFont val="Arial MT"/>
        <family val="2"/>
      </rPr>
      <t>Mohab Elhosseny</t>
    </r>
  </si>
  <si>
    <t>Testing Tool</t>
  </si>
  <si>
    <t>Jira with Zephyr (Test Case Management &amp; Execution)</t>
  </si>
  <si>
    <t>Application Areas Covered</t>
  </si>
  <si>
    <t>Registration (Sign Up), Login &amp; Authentication, Home Screen Navigation, Settings/Profile, Logout</t>
  </si>
  <si>
    <t>2. Testing Types Performed</t>
  </si>
  <si>
    <t>- Functional Testing (core user flows: registration, login, navigation, logout)
- Negative Testing (invalid inputs, empty fields, boundary values)
- Boundary Value Testing (character limits, numeric ranges, minimum/maximum lengths)
- Equivalence Partitioning (valid/invalid input classes, e.g. Age, Password length, Phone Number)
- Basic Security Testing
- UI / Navigation Testing (screen transitions, icon and link behavior)</t>
  </si>
  <si>
    <r>
      <rPr>
        <b/>
        <sz val="13.5"/>
        <color rgb="FFFFFFFF"/>
        <rFont val="Arial"/>
        <family val="2"/>
      </rPr>
      <t>Test Execution Summary</t>
    </r>
  </si>
  <si>
    <r>
      <rPr>
        <b/>
        <sz val="11.5"/>
        <color rgb="FFFFFFFF"/>
        <rFont val="Calibri"/>
        <family val="1"/>
      </rPr>
      <t>Metric</t>
    </r>
  </si>
  <si>
    <r>
      <rPr>
        <b/>
        <sz val="11.5"/>
        <color rgb="FFFFFFFF"/>
        <rFont val="Calibri"/>
        <family val="1"/>
      </rPr>
      <t>Count</t>
    </r>
  </si>
  <si>
    <r>
      <rPr>
        <b/>
        <sz val="9.5"/>
        <rFont val="Arial"/>
        <family val="2"/>
      </rPr>
      <t>Total Test Cases</t>
    </r>
  </si>
  <si>
    <t>101</t>
  </si>
  <si>
    <r>
      <rPr>
        <b/>
        <sz val="9.5"/>
        <rFont val="Arial"/>
        <family val="2"/>
      </rPr>
      <t>Passed</t>
    </r>
  </si>
  <si>
    <t>92</t>
  </si>
  <si>
    <r>
      <rPr>
        <b/>
        <sz val="9.5"/>
        <rFont val="Arial"/>
        <family val="2"/>
      </rPr>
      <t>Failed</t>
    </r>
  </si>
  <si>
    <t>9</t>
  </si>
  <si>
    <r>
      <rPr>
        <b/>
        <sz val="9.5"/>
        <rFont val="Arial"/>
        <family val="2"/>
      </rPr>
      <t>Pass Rate</t>
    </r>
  </si>
  <si>
    <t>91.1%</t>
  </si>
  <si>
    <t>fail Rate</t>
  </si>
  <si>
    <r>
      <rPr>
        <b/>
        <sz val="13.5"/>
        <color rgb="FFFFFFFF"/>
        <rFont val="Arial"/>
        <family val="2"/>
      </rPr>
      <t>Defect Summary</t>
    </r>
  </si>
  <si>
    <r>
      <rPr>
        <b/>
        <sz val="9.5"/>
        <rFont val="Arial"/>
        <family val="2"/>
      </rPr>
      <t>Total Bugs</t>
    </r>
  </si>
  <si>
    <r>
      <rPr>
        <b/>
        <sz val="9.5"/>
        <rFont val="Arial"/>
        <family val="2"/>
      </rPr>
      <t>Bugs Fixed</t>
    </r>
  </si>
  <si>
    <r>
      <rPr>
        <b/>
        <sz val="9.5"/>
        <rFont val="Arial"/>
        <family val="2"/>
      </rPr>
      <t>Bugs Still Open</t>
    </r>
  </si>
  <si>
    <t>TQ ID</t>
  </si>
  <si>
    <t>Title</t>
  </si>
  <si>
    <t>Status</t>
  </si>
  <si>
    <t>TQ-1</t>
  </si>
  <si>
    <t>Verify successful registration with all fields filled with valid data.</t>
  </si>
  <si>
    <t>TQ-2</t>
  </si>
  <si>
    <t>Verify that First and Last name fields accept both Arabic and English characters.</t>
  </si>
  <si>
    <t>TQ-3</t>
  </si>
  <si>
    <t>Verify that First and Last name accept minimum valid character length.</t>
  </si>
  <si>
    <t>TQ-4</t>
  </si>
  <si>
    <t>Verify Gender selection functionality for both "Male" and "Female" options.</t>
  </si>
  <si>
    <t>TQ-5</t>
  </si>
  <si>
    <t>Verify Email field accepts standard formats (e.g., user@example.com).</t>
  </si>
  <si>
    <t>TQ-6</t>
  </si>
  <si>
    <t>Verify Password validation: All 5 indicators turn green when a strong password is entered.</t>
  </si>
  <si>
    <t>TQ-7</t>
  </si>
  <si>
    <t>Verify Password Visibility: Toggle 'Eye' icon to show and hide the password text.</t>
  </si>
  <si>
    <t>TQ-8</t>
  </si>
  <si>
    <t>Verify Phone Number accepts input with a valid country code (e.g., +20).</t>
  </si>
  <si>
    <t>TQ-9</t>
  </si>
  <si>
    <t>Verify 'Sign Up' button is clickable when all mandatory data is valid.</t>
  </si>
  <si>
    <t>TQ-10</t>
  </si>
  <si>
    <t>Verify 'Sign In' link redirects the user correctly to the Login page.</t>
  </si>
  <si>
    <t>TQ-11</t>
  </si>
  <si>
    <t>Verify error message when First &amp; Last Name is empty</t>
  </si>
  <si>
    <t>TQ-12</t>
  </si>
  <si>
    <t>Verify that First and Last Name fields reject input exceeding maximum character length (50 characters)</t>
  </si>
  <si>
    <t>TQ-13</t>
  </si>
  <si>
    <t>Verify error when First Name contains numbers</t>
  </si>
  <si>
    <t>TQ-14</t>
  </si>
  <si>
    <t>Verify error when First Name contains special characters</t>
  </si>
  <si>
    <t>TQ-15</t>
  </si>
  <si>
    <t>Verify error message when user age is Empty</t>
  </si>
  <si>
    <t>TQ-16</t>
  </si>
  <si>
    <t>Verify error message when user age is more than 80</t>
  </si>
  <si>
    <t>TQ-17</t>
  </si>
  <si>
    <t>Verify error message when user age is less than 18</t>
  </si>
  <si>
    <t>TQ-18</t>
  </si>
  <si>
    <t>Verify error message when age is a decimal number</t>
  </si>
  <si>
    <t>TQ-19</t>
  </si>
  <si>
    <t>Verify error when gender is not selected</t>
  </si>
  <si>
    <t>TQ-20</t>
  </si>
  <si>
    <t>Verify gender field does not have a pre-selected value</t>
  </si>
  <si>
    <t>TQ-21</t>
  </si>
  <si>
    <t>Verify error message when Email field is Empty</t>
  </si>
  <si>
    <t>TQ-22</t>
  </si>
  <si>
    <t>Verify error message when Email does not contain @</t>
  </si>
  <si>
    <t>TQ-23</t>
  </si>
  <si>
    <t>Verify error when email domain is missing or invalid (.com)</t>
  </si>
  <si>
    <t>TQ-24</t>
  </si>
  <si>
    <t>Verify error when email starts with special characters</t>
  </si>
  <si>
    <t>TQ-25</t>
  </si>
  <si>
    <t>Verify error when email contains space</t>
  </si>
  <si>
    <t>TQ-26</t>
  </si>
  <si>
    <t>Verify error when email contains double @</t>
  </si>
  <si>
    <t>TQ-27</t>
  </si>
  <si>
    <t>Verify error when email contains double dot</t>
  </si>
  <si>
    <t>TQ-28</t>
  </si>
  <si>
    <t>verify error when email is already registered</t>
  </si>
  <si>
    <t>TQ-29</t>
  </si>
  <si>
    <t>Verify error when password is Empty</t>
  </si>
  <si>
    <t>TQ-30</t>
  </si>
  <si>
    <t>Verify error when password is less than 8 characters</t>
  </si>
  <si>
    <t>TQ-31</t>
  </si>
  <si>
    <t>Verify error when password has not uppercase letter</t>
  </si>
  <si>
    <t>TQ-32</t>
  </si>
  <si>
    <t>Verify error when password has not lowercase letter</t>
  </si>
  <si>
    <t>TQ-33</t>
  </si>
  <si>
    <t>Verify error when password has not number</t>
  </si>
  <si>
    <t>TQ-34</t>
  </si>
  <si>
    <t>Verify error when password has not special character</t>
  </si>
  <si>
    <t>TQ-35</t>
  </si>
  <si>
    <t>Verify error when password contains only spaces</t>
  </si>
  <si>
    <t>TQ-36</t>
  </si>
  <si>
    <t>verify error when phone number is empty</t>
  </si>
  <si>
    <t>TQ-37</t>
  </si>
  <si>
    <t>verify error when phone number contains letters</t>
  </si>
  <si>
    <t>TQ-38</t>
  </si>
  <si>
    <t>verify error when phone number contains special characters</t>
  </si>
  <si>
    <t>TQ-39</t>
  </si>
  <si>
    <t>verify error when phone number contains spaces</t>
  </si>
  <si>
    <t>TQ-40</t>
  </si>
  <si>
    <t>verify error when phone number is already registered</t>
  </si>
  <si>
    <t>TQ-41</t>
  </si>
  <si>
    <t>verify error when phone number is less than 7 digits</t>
  </si>
  <si>
    <t>TQ-42</t>
  </si>
  <si>
    <t>verify error when phone number is more than 15 digits</t>
  </si>
  <si>
    <t>TQ-43</t>
  </si>
  <si>
    <t>Verify error when phone number contains only zeros</t>
  </si>
  <si>
    <t>TQ-44</t>
  </si>
  <si>
    <t>Verify error when phone number contains a + sign in the middle</t>
  </si>
  <si>
    <t>TQ-45</t>
  </si>
  <si>
    <t>Verify error when clicking Sign Up with all fields empty</t>
  </si>
  <si>
    <t>TQ-46</t>
  </si>
  <si>
    <t>Verify Age field validation for invalid inputs (Letters, Special Characters, Negative, Leading Zero)</t>
  </si>
  <si>
    <t>TQ-47</t>
  </si>
  <si>
    <t>Verify that First and Last name reject single character input</t>
  </si>
  <si>
    <t>TQ-48</t>
  </si>
  <si>
    <t>verify National ID accepts minimum valid length (8)</t>
  </si>
  <si>
    <t>TQ-49</t>
  </si>
  <si>
    <t>verify National ID accepts maximum valid length (20)</t>
  </si>
  <si>
    <t>TQ-50</t>
  </si>
  <si>
    <t>Verify National ID accepts alphanumeric input (letters &amp; numbers)</t>
  </si>
  <si>
    <t>TQ-51</t>
  </si>
  <si>
    <t>Verify error when National ID is less than 8 characters</t>
  </si>
  <si>
    <t>TQ-52</t>
  </si>
  <si>
    <t>Verify error when National ID is more than 20 characters</t>
  </si>
  <si>
    <t>TQ-53</t>
  </si>
  <si>
    <t>Verify error when National ID field is empty</t>
  </si>
  <si>
    <t>TQ-54</t>
  </si>
  <si>
    <t>Login with valid email and valid password.</t>
  </si>
  <si>
    <t>TQ-55</t>
  </si>
  <si>
    <t>Click on the "show/hide password" icon.</t>
  </si>
  <si>
    <t>TQ-56</t>
  </si>
  <si>
    <t>Verify "Forgot Password?" link navigates to the reset password page.</t>
  </si>
  <si>
    <t>TQ-57</t>
  </si>
  <si>
    <t>Login with a valid password after using forgotten password.</t>
  </si>
  <si>
    <t>TQ-58</t>
  </si>
  <si>
    <t>Verify "Sign up" link navigates to the registration page.</t>
  </si>
  <si>
    <t>TQ-59</t>
  </si>
  <si>
    <t>Verify "Login" button navigates to the home page.</t>
  </si>
  <si>
    <t>TQ-60</t>
  </si>
  <si>
    <t>Click the "Back" arrow button.</t>
  </si>
  <si>
    <t>TQ-61</t>
  </si>
  <si>
    <t>Verify user remains logged in after closing and reopening the app</t>
  </si>
  <si>
    <t>TQ-62</t>
  </si>
  <si>
    <t>Verify password field is masked by default (••••)</t>
  </si>
  <si>
    <t>TQ-63</t>
  </si>
  <si>
    <t>Login with valid email and invalid password</t>
  </si>
  <si>
    <t>TQ-64</t>
  </si>
  <si>
    <t>Login with invalid email and valid password</t>
  </si>
  <si>
    <t>TQ-65</t>
  </si>
  <si>
    <t>login with invalid email and invalid password</t>
  </si>
  <si>
    <t>TQ-66</t>
  </si>
  <si>
    <t>Verify error when email is not registered</t>
  </si>
  <si>
    <t>TQ-67</t>
  </si>
  <si>
    <t>Verify error when password field is empty</t>
  </si>
  <si>
    <t>TQ-68</t>
  </si>
  <si>
    <t>Verify error when Email field is empty</t>
  </si>
  <si>
    <t>TQ-69</t>
  </si>
  <si>
    <t>login with an old password after using forgotten password</t>
  </si>
  <si>
    <t>TQ-70</t>
  </si>
  <si>
    <t>login without internet connection</t>
  </si>
  <si>
    <t>TQ-71</t>
  </si>
  <si>
    <t>XSS in Email &amp; Password Fields</t>
  </si>
  <si>
    <t>TQ-72</t>
  </si>
  <si>
    <t>XSS with Image Tag in Email &amp; Password Fields</t>
  </si>
  <si>
    <t>TQ-73</t>
  </si>
  <si>
    <t>SQL Injection in Email &amp; Password Fields</t>
  </si>
  <si>
    <t>TQ-74</t>
  </si>
  <si>
    <t>Reset Password with Old Password</t>
  </si>
  <si>
    <t>TQ-75</t>
  </si>
  <si>
    <t>Verify "My Bookings" card navigates to the bookings screen</t>
  </si>
  <si>
    <t>TQ-76</t>
  </si>
  <si>
    <t>Verify "Flights" card navigates to the flight search screen</t>
  </si>
  <si>
    <t>TQ-77</t>
  </si>
  <si>
    <t>Verify "Hotels" card navigates to the hotel search screen</t>
  </si>
  <si>
    <t>TQ-78</t>
  </si>
  <si>
    <t>Verify "car rent" card navigates to the car rent screen</t>
  </si>
  <si>
    <t>TQ-79</t>
  </si>
  <si>
    <t>Verify "See all" link navigates to the all destinations screen</t>
  </si>
  <si>
    <t>TQ-80</t>
  </si>
  <si>
    <t>Verify the app navigates to the Paris details when clicking the Paris card</t>
  </si>
  <si>
    <t>TQ-81</t>
  </si>
  <si>
    <t>Verify the app navigates to the Tokyo details when clicking the Tokyo card</t>
  </si>
  <si>
    <t>TQ-82</t>
  </si>
  <si>
    <t>Verify the app navigates to the Dubai details when clicking the Dubai card</t>
  </si>
  <si>
    <t>TQ-83</t>
  </si>
  <si>
    <t>Verify the app navigates to the London details when clicking the London card</t>
  </si>
  <si>
    <t>TQ-84</t>
  </si>
  <si>
    <t>Verify "RAHAL" logo is visible in the top left corner</t>
  </si>
  <si>
    <t>TQ-85</t>
  </si>
  <si>
    <t>Verify "M" icon is visible in the top right corner</t>
  </si>
  <si>
    <t>TQ-86</t>
  </si>
  <si>
    <t>Verify "M" icon is clickable</t>
  </si>
  <si>
    <t>TQ-87</t>
  </si>
  <si>
    <t>Verify "M" icon shows "Settings", "About Us", and "Log Out</t>
  </si>
  <si>
    <t>TQ-88</t>
  </si>
  <si>
    <t>Verify "M" icon shows correct "Name" and "Email"</t>
  </si>
  <si>
    <t>TQ-89</t>
  </si>
  <si>
    <t>Verify "Settings" navigates to the settings card</t>
  </si>
  <si>
    <t>TQ-90</t>
  </si>
  <si>
    <t>Verify "Appearance" feature works correctly</t>
  </si>
  <si>
    <t>TQ-91</t>
  </si>
  <si>
    <t>Verify "language" feature works correctly</t>
  </si>
  <si>
    <t>TQ-92</t>
  </si>
  <si>
    <t>Verify page content is displayed correctly on about us screen</t>
  </si>
  <si>
    <t>TQ-93</t>
  </si>
  <si>
    <t>Verify stats numbers are correct on about us screen</t>
  </si>
  <si>
    <t>TQ-94</t>
  </si>
  <si>
    <t>Verify tapping Email opens mail app</t>
  </si>
  <si>
    <t>TQ-95</t>
  </si>
  <si>
    <t>Verify tapping phone opens dialer</t>
  </si>
  <si>
    <t>TQ-96</t>
  </si>
  <si>
    <t>Verify tapping headquarters opens map</t>
  </si>
  <si>
    <t>TQ-97</t>
  </si>
  <si>
    <t>Verify tapping facebook opens facebook page</t>
  </si>
  <si>
    <t>TQ-98</t>
  </si>
  <si>
    <t>Verify tapping Instagram opens instagram page</t>
  </si>
  <si>
    <t>TQ-99</t>
  </si>
  <si>
    <t>Verify tapping tiktok opens tiktok page</t>
  </si>
  <si>
    <t>TQ-100</t>
  </si>
  <si>
    <t>Verify tapping linkedin opens linkedin page</t>
  </si>
  <si>
    <t>TQ-101</t>
  </si>
  <si>
    <t>Verify that confirming Log out navigates the user to the login screen</t>
  </si>
  <si>
    <t>Bug ID</t>
  </si>
  <si>
    <t>Related TC ID</t>
  </si>
  <si>
    <t>Summary</t>
  </si>
  <si>
    <t>Steps to Reproduce</t>
  </si>
  <si>
    <t>Expected Result</t>
  </si>
  <si>
    <t>Actual Result</t>
  </si>
  <si>
    <t>Severity</t>
  </si>
  <si>
    <t>Priority</t>
  </si>
  <si>
    <t>Environment</t>
  </si>
  <si>
    <t>Evidence / Screenshot</t>
  </si>
  <si>
    <t>BUG-1</t>
  </si>
  <si>
    <t>Sign up -&gt; phone number field doesn't accept valid country code</t>
  </si>
  <si>
    <t>Go to Sign Up page
Enter a valid phone number with country code in Phone Number field
Test Data: +201212442237
Fill rest of fields with valid data
Click Sign Up</t>
  </si>
  <si>
    <t>Phone Number field accepts input with country code</t>
  </si>
  <si>
    <t>Phone Number field does not accept the + symbol</t>
  </si>
  <si>
    <t>Medium</t>
  </si>
  <si>
    <t>Web - Chrome</t>
  </si>
  <si>
    <t>Closed</t>
  </si>
  <si>
    <t>Evidence/bug-TQ8.png</t>
  </si>
  <si>
    <t>BUG-2</t>
  </si>
  <si>
    <t>Sign up -&gt; First Name and Last Name fields accept input exceeding 50 characters</t>
  </si>
  <si>
    <t>1-Go to Sign up page
2-Enter more than 50 characters in the First name field
3-Enter more than 50 characters in the Last name field
4-Fill other fields with valid data
5-Click Sign up</t>
  </si>
  <si>
    <t>Error message is displayed, First/Last Name must not exceed 50 characters. Form is not submitted.</t>
  </si>
  <si>
    <t>Field accepted more than 50 characters with no errors</t>
  </si>
  <si>
    <t>Evidence/bug-TQ12.png</t>
  </si>
  <si>
    <t>BUG-3</t>
  </si>
  <si>
    <t xml:space="preserve">Sign up -&gt; Age field accepts values more than 80 </t>
  </si>
  <si>
    <t>Go to Sign Up page
Enter a value greater than 80 in the Age field
Test Data: 81
Fill rest of fields with valid data
Click Sign Up</t>
  </si>
  <si>
    <t>Error message is displayed, Age must not exceed 80. Form is not submitted.</t>
  </si>
  <si>
    <t>Age field accepted the value 81 with no error. Form was submitted successfully.</t>
  </si>
  <si>
    <t>Evidence/bug-TQ16.png</t>
  </si>
  <si>
    <t>BUG-4</t>
  </si>
  <si>
    <t>Sign up -&gt; phone number field accepts all zeros</t>
  </si>
  <si>
    <t>Go to Sign Up page
Enter 00000000000000 in the Phone Number field
Fill rest of fields with valid data
Click Sign Up</t>
  </si>
  <si>
    <t xml:space="preserve"> Error message is displayed, Enter a valid phone number. Form is not submitted.</t>
  </si>
  <si>
    <t>Phone Number field accepted 00000000000000 with no error. Form was submitted successfully.</t>
  </si>
  <si>
    <t>Evidence/bug-TQ43.png</t>
  </si>
  <si>
    <t>BUG-5</t>
  </si>
  <si>
    <t>Sign up -&gt; Age field accepts leading zero input</t>
  </si>
  <si>
    <t>Go to Sign Up page
Enter 0022 in the Age field
Fill rest of fields with valid data
Click Sign Up</t>
  </si>
  <si>
    <t xml:space="preserve"> Error message is displayed. Form is not submitted.</t>
  </si>
  <si>
    <t>Age field accepted 0022 with no error. Form was submitted successfully.</t>
  </si>
  <si>
    <t>Evidence/bug-TQ46.png</t>
  </si>
  <si>
    <t>BUG-6</t>
  </si>
  <si>
    <t>Sign up -&gt; First name and Last name field accept single character input</t>
  </si>
  <si>
    <t>Go to Sign Up page
Enter M in the First Name field
Enter A in the Last Name field
Fill rest of fields with valid data
Click Sign Up</t>
  </si>
  <si>
    <t xml:space="preserve"> Error message is displayed under First Name and Last Name fields</t>
  </si>
  <si>
    <t xml:space="preserve"> First Name and Last Name fields accepted single character input with no error. Form was submitted successfully.</t>
  </si>
  <si>
    <t>Evidence/bug-TQ47.png</t>
  </si>
  <si>
    <t>BUG-7</t>
  </si>
  <si>
    <t>Login -&gt; forgot password -&gt; Reset password link redirects to an empty screen</t>
  </si>
  <si>
    <t>Go to the login page
Click on forgot password
Enter a registered email
Open Gmail and click on the link</t>
  </si>
  <si>
    <t xml:space="preserve"> A reset password page is displayed </t>
  </si>
  <si>
    <t>An empty screen is displayed</t>
  </si>
  <si>
    <t>High</t>
  </si>
  <si>
    <t>Evidence/bug-TQ56.png</t>
  </si>
  <si>
    <t>BUG-8</t>
  </si>
  <si>
    <t>User is required to login every time the app is reopened</t>
  </si>
  <si>
    <t>Go to the Login page
Login with valid credentials
Navigate to home page
close the app
reopen the app</t>
  </si>
  <si>
    <t>User remains logged in and is redirected to home page directly.</t>
  </si>
  <si>
    <t xml:space="preserve">User is redirected to Login page and required to login again. </t>
  </si>
  <si>
    <t>N/A</t>
  </si>
  <si>
    <t>BUG-9</t>
  </si>
  <si>
    <t>No error message shown when logging in with old password after reset</t>
  </si>
  <si>
    <t>Go to Login screen 
Tap "Forgot Password"
Enter a registered Email
Open email and tap the reset link
Enter a new password
Go back to login screen
Enter the old password and tap login</t>
  </si>
  <si>
    <t>Error message appears: 'Incorrect password'</t>
  </si>
  <si>
    <t>No error message is displayed,</t>
  </si>
  <si>
    <t>Evidence/bug-TQ69.png</t>
  </si>
  <si>
    <t>Preconditions</t>
  </si>
  <si>
    <t>Steps</t>
  </si>
  <si>
    <t>Test Data</t>
  </si>
  <si>
    <t>User is on the Registration page and has a stable internet connection</t>
  </si>
  <si>
    <t>1. Navigate to Sign Up page
2. Enter valid First Name
3. Enter valid Last Name
4. Enter valid Age
5. Select Gender
6. Enter valid Email
7. Enter strong Password
8. Enter valid Phone Number
9. Enter valid National ID
10. Click 'Sign Up' button</t>
  </si>
  <si>
    <t>First Name: Mohab | Last Name: Ali | Age: 20 | Gender: Male | Email: test@gmail.com | Password: Test@@@11 | Phone: 01212246654 | National ID: 30455545789123</t>
  </si>
  <si>
    <t>User is successfully registered
Redirected to Home screen</t>
  </si>
  <si>
    <t>Pass</t>
  </si>
  <si>
    <t>User is on the Sign Up page, Password field is visible</t>
  </si>
  <si>
    <t>1. Navigate to Sign Up page
2. Enter a password meeting all 5 criteria (uppercase, lowercase, number, special character, min length)</t>
  </si>
  <si>
    <t>Password: Test@@@11</t>
  </si>
  <si>
    <t>All 5 password strength indicators turn green.</t>
  </si>
  <si>
    <t>All 5 indicators turned green as expected.</t>
  </si>
  <si>
    <t>User is on the Sign Up page</t>
  </si>
  <si>
    <t>Phone Number: +201212442237</t>
  </si>
  <si>
    <t>Phone Number field accepts input with country code.</t>
  </si>
  <si>
    <t>Phone Number field does not accept the + symbol.</t>
  </si>
  <si>
    <t>Fail</t>
  </si>
  <si>
    <t>1. Navigate to Sign Up page
2. Enter a First Name longer than 50 characters
3. Enter a Last Name longer than 50 characters
4. Fill remaining fields with valid data
5. Click 'Sign Up' button</t>
  </si>
  <si>
    <t>First Name / Last Name: 55+ character string</t>
  </si>
  <si>
    <t>System rejects input over 50 characters and displays a validation error. Form is not submitted.</t>
  </si>
  <si>
    <t>Field accepted input longer than 50 characters with no error. Form was submitted successfully.</t>
  </si>
  <si>
    <t>1. Navigate to Sign Up page
2. Enter a value greater than 80 in the Age field
3. Fill remaining fields with valid data
4. Click 'Sign Up' button</t>
  </si>
  <si>
    <t>Age:81</t>
  </si>
  <si>
    <t>System displays an error message stating age must not exceed 80. Form is not submitted.</t>
  </si>
  <si>
    <t>1. Navigate to Sign Up page
2. Enter an email address without the '@' symbol
3. Fill remaining fields with valid data
4. Click 'Sign Up' button</t>
  </si>
  <si>
    <t>Email: testgmail.com</t>
  </si>
  <si>
    <t>System displays a validation error stating the email format is invalid. Form is not submitted.</t>
  </si>
  <si>
    <t>System displayed a validation error and blocked submission as expected.</t>
  </si>
  <si>
    <t>1. Navigate to Sign Up page
2. Enter a password with fewer than 8 characters
3. Fill remaining fields with valid data
4. Click 'Sign Up' button</t>
  </si>
  <si>
    <t>Password: Test@1</t>
  </si>
  <si>
    <t>System displays a validation error stating the password must be at least 8 characters. Form is not submitted.</t>
  </si>
  <si>
    <t>1. Navigate to Sign Up page
2. Enter a phone number with fewer than 7 digits
3. Fill remaining fields with valid data
4. Click 'Sign Up' button</t>
  </si>
  <si>
    <t>Phone Number: 12345</t>
  </si>
  <si>
    <t>System displays a validation error stating the phone number is too short. Form is not submitted.</t>
  </si>
  <si>
    <t>1. Go to Sign Up page
2. Enter 00000000000000 in the Phone Number field
3. Fill rest of fields with valid data
4. Click Sign Up</t>
  </si>
  <si>
    <t>Phone Number: 00000000000000</t>
  </si>
  <si>
    <t>Error message is displayed - Enter a valid phone number. Form is not submitted.</t>
  </si>
  <si>
    <t>Verify Age field validation for invalid inputs (leading zero)</t>
  </si>
  <si>
    <t>1. Go to Sign Up page
2. Enter 0022 in the Age field
3. Fill rest of fields with valid data
4. Click Sign Up</t>
  </si>
  <si>
    <t>Age: 0022</t>
  </si>
  <si>
    <t>Error message is displayed. Form is not submitted.</t>
  </si>
  <si>
    <t>1. Go to Sign Up page
2. Enter M in the First Name field
3. Enter A in the Last Name field
4. Fill rest of fields with valid data
5. Click Sign Up</t>
  </si>
  <si>
    <t>First Name: M | Last Name: A</t>
  </si>
  <si>
    <t>Error message is displayed under First Name and Last Name fields.</t>
  </si>
  <si>
    <t>First Name and Last Name fields accepted single character input with no error. Form was submitted successfully.</t>
  </si>
  <si>
    <t>1. Navigate to Sign Up page
2. Enter a National ID with exactly 8 characters
3. Fill remaining fields with valid data
4. Click 'Sign Up' button</t>
  </si>
  <si>
    <t>National ID: 12345678</t>
  </si>
  <si>
    <t>National ID field accepts the 8-character input without errors.</t>
  </si>
  <si>
    <t>Field accepted the 8-character National ID correctly.</t>
  </si>
  <si>
    <t>User is on the Login or Sign Up page</t>
  </si>
  <si>
    <t>1. Navigate to Login/Sign Up page
2. Enter an XSS script payload into the Email field
3. Enter an XSS script payload into the Password field
4. Submit the form</t>
  </si>
  <si>
    <t>Email: &lt;script&gt;alert(1)&lt;/script&gt; | Password: &lt;script&gt;alert(1)&lt;/script&gt;</t>
  </si>
  <si>
    <t>Input is sanitized/rejected; no script executes and no alert popup appears.</t>
  </si>
  <si>
    <t>Input was rejected/escaped correctly. No script execution occurred.</t>
  </si>
  <si>
    <t>User is on the Login page</t>
  </si>
  <si>
    <t>1. Navigate to Login page
2. Enter a SQL injection payload into the Email field
3. Enter a SQL injection payload into the Password field
4. Click 'Login' button</t>
  </si>
  <si>
    <t>Email: ' OR '1'='1 | Password: ' OR '1'='1</t>
  </si>
  <si>
    <t>Login is rejected with a standard invalid credentials error. No unauthorized access or database error occurs.</t>
  </si>
  <si>
    <t>Login was correctly rejected with a standard error message. No unauthorized access occurred.</t>
  </si>
  <si>
    <t>User has a registered account</t>
  </si>
  <si>
    <t>1. Navigate to Login page
2. Enter valid registered email
3. Enter correct valid password
4. Click 'Login' button</t>
  </si>
  <si>
    <t>Email: test@gmail.com | Password: Test@@@11</t>
  </si>
  <si>
    <t>User is logged in successfully and redirected to the Home screen.</t>
  </si>
  <si>
    <t>User logged in successfully and was redirected to Home screen.</t>
  </si>
  <si>
    <t>1. Navigate to Login page
2. Enter valid registered email
3. Enter an incorrect password
4. Click 'Login' button</t>
  </si>
  <si>
    <t>Email: test@gmail.com | Password: WrongPass1</t>
  </si>
  <si>
    <t>System displays an 'incorrect password' error message. User is not logged in.</t>
  </si>
  <si>
    <t>Error message displayed correctly, login blocked as expected.</t>
  </si>
  <si>
    <t>Verify 'Forgot Password?' link navigates to reset password page</t>
  </si>
  <si>
    <t>1. Navigate to "Login" page
2. Click on "forgotten password" link/button
3. Enter a registered email address
4. Click on "Send Reset Link" button
5. Open the email and click on the reset password link</t>
  </si>
  <si>
    <t>Email: mohabelhossenyy@gmail.com</t>
  </si>
  <si>
    <t>A reset password page is displayed.</t>
  </si>
  <si>
    <t>An empty screen is displayed.</t>
  </si>
  <si>
    <t>1. Go to the Login page
2. Login with valid credentials
3. Navigate to home page
4. Close the app
5. Reopen the app</t>
  </si>
  <si>
    <t>User is redirected to Login page and required to login again.</t>
  </si>
  <si>
    <t>User has completed a password reset via 'Forgot Password'</t>
  </si>
  <si>
    <t>1. Complete the forgot password / reset flow with a new password
2. Navigate to Login page
3. Enter registered email
4. Enter the OLD (previous) password
5. Click 'Login'</t>
  </si>
  <si>
    <t>Email: registered account | Password: old/previous password</t>
  </si>
  <si>
    <t>System displays an error message ('Incorrect password') and does not log the user in.</t>
  </si>
  <si>
    <t>Nothing happens - no error message is shown and no navigation occurs.</t>
  </si>
  <si>
    <t>Device has no active internet connection</t>
  </si>
  <si>
    <t>1. Disable Wi-Fi and mobile data
2. Navigate to Login page
3. Enter valid email and password
4. Click 'Login' button</t>
  </si>
  <si>
    <t>Email: test@gmail.com | Password: Test@@@11 | Network: Offline</t>
  </si>
  <si>
    <t>System displays a clear network/connectivity error message. User is not logged in.</t>
  </si>
  <si>
    <t>System displayed a connectivity error message and blocked login as expected.</t>
  </si>
  <si>
    <t>User is logged in and on the Home screen</t>
  </si>
  <si>
    <t>1. Locate 'My Bookings' card on Home screen
2. Tap the 'My Bookings' card</t>
  </si>
  <si>
    <t>User is navigated to the My Bookings screen.</t>
  </si>
  <si>
    <t>User was navigated to the My Bookings screen correctly.</t>
  </si>
  <si>
    <t>1. Locate the 'Paris' destination card on the Home screen
2. Tap the 'Paris' card</t>
  </si>
  <si>
    <t>User is navigated to the Paris destination details screen.</t>
  </si>
  <si>
    <t>User was navigated to the Paris details screen correctly.</t>
  </si>
  <si>
    <t>1. Tap the 'M' icon in the top right corner</t>
  </si>
  <si>
    <t>A menu appears showing 'Settings', 'About Us', and 'Log Out' options.</t>
  </si>
  <si>
    <t>Menu appeared with all three options displayed correctly.</t>
  </si>
  <si>
    <t>User is logged in and on the Settings screen</t>
  </si>
  <si>
    <t>1. Navigate to Settings
2. Tap 'Appearance'
3. Switch between Light and Dark mode</t>
  </si>
  <si>
    <t>App theme changes correctly between Light and Dark mode based on selection.</t>
  </si>
  <si>
    <t>Theme switched correctly between Light and Dark mode as expected.</t>
  </si>
  <si>
    <t>User is logged in</t>
  </si>
  <si>
    <t>1. Tap the 'M' icon
2. Tap 'Log Out'
3. Confirm the logout action</t>
  </si>
  <si>
    <t>User is logged out and redirected to the Login screen.</t>
  </si>
  <si>
    <t>User was logged out and redirected to the Login screen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</si>
</sst>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charset val="1"/>
    </font>
    <font>
      <b/>
      <sz val="11"/>
      <color rgb="FFFFFFFF"/>
      <name val="Arial"/>
      <charset val="1"/>
    </font>
    <font>
      <sz val="10"/>
      <name val="Arial"/>
      <charset val="1"/>
    </font>
    <font>
      <sz val="10"/>
      <color rgb="FF7F7F7F"/>
      <name val="Arial"/>
      <charset val="1"/>
    </font>
    <font>
      <sz val="10"/>
      <color theme="1"/>
      <name val="Arial"/>
      <charset val="1"/>
    </font>
    <font>
      <sz val="10"/>
      <color theme="1"/>
      <name val="Arial"/>
    </font>
    <font>
      <sz val="11"/>
      <color theme="1"/>
      <name val="Arial"/>
    </font>
    <font>
      <sz val="10"/>
      <name val="Arial"/>
    </font>
    <font>
      <b/>
      <sz val="12"/>
      <color rgb="FFFFFFFF"/>
      <name val="Arial"/>
    </font>
    <font>
      <sz val="10"/>
      <color rgb="FF000000"/>
      <name val="Arial"/>
      <charset val="1"/>
    </font>
    <font>
      <b/>
      <sz val="13.5"/>
      <name val="Arial"/>
    </font>
    <font>
      <b/>
      <sz val="13.5"/>
      <color rgb="FFFFFFFF"/>
      <name val="Arial"/>
      <family val="2"/>
    </font>
    <font>
      <b/>
      <sz val="10.5"/>
      <name val="Arial"/>
    </font>
    <font>
      <b/>
      <sz val="10.5"/>
      <color rgb="FFFFFFFF"/>
      <name val="Arial"/>
      <family val="2"/>
    </font>
    <font>
      <b/>
      <sz val="9.5"/>
      <name val="Arial"/>
    </font>
    <font>
      <b/>
      <sz val="9.5"/>
      <name val="Arial"/>
      <family val="2"/>
    </font>
    <font>
      <b/>
      <sz val="11.5"/>
      <name val="Calibri"/>
    </font>
    <font>
      <b/>
      <sz val="11.5"/>
      <color rgb="FFFFFFFF"/>
      <name val="Calibri"/>
      <family val="1"/>
    </font>
    <font>
      <sz val="10.5"/>
      <color rgb="FF000000"/>
      <name val="Calibri"/>
      <family val="2"/>
    </font>
    <font>
      <sz val="9.5"/>
      <name val="Arial"/>
    </font>
    <font>
      <b/>
      <sz val="13"/>
      <color rgb="FFFFFFFF"/>
      <name val="Arial"/>
      <charset val="1"/>
    </font>
    <font>
      <sz val="11"/>
      <name val="Arial"/>
    </font>
    <font>
      <sz val="11"/>
      <name val="Arial MT"/>
      <family val="2"/>
    </font>
  </fonts>
  <fills count="8">
    <fill>
      <patternFill patternType="none"/>
    </fill>
    <fill>
      <patternFill patternType="gray125"/>
    </fill>
    <fill>
      <patternFill patternType="solid">
        <fgColor rgb="FF1F4E78"/>
        <bgColor rgb="FF003366"/>
      </patternFill>
    </fill>
    <fill>
      <patternFill patternType="solid">
        <fgColor rgb="FF1F3764"/>
      </patternFill>
    </fill>
    <fill>
      <patternFill patternType="solid">
        <fgColor rgb="FF2E75B6"/>
      </patternFill>
    </fill>
    <fill>
      <patternFill patternType="solid">
        <fgColor rgb="FFD6E4F0"/>
      </patternFill>
    </fill>
    <fill>
      <patternFill patternType="solid">
        <fgColor rgb="FF9BBB59"/>
      </patternFill>
    </fill>
    <fill>
      <patternFill patternType="solid">
        <fgColor rgb="FFC0504D"/>
      </patternFill>
    </fill>
  </fills>
  <borders count="18">
    <border>
      <left/>
      <right/>
      <top/>
      <bottom/>
      <diagonal/>
    </border>
    <border>
      <left style="thin">
        <color rgb="FFB7B7B7"/>
      </left>
      <right style="thin">
        <color rgb="FFB7B7B7"/>
      </right>
      <top style="thin">
        <color rgb="FFB7B7B7"/>
      </top>
      <bottom style="thin">
        <color rgb="FFB7B7B7"/>
      </bottom>
      <diagonal/>
    </border>
    <border>
      <left/>
      <right/>
      <top/>
      <bottom style="thin">
        <color rgb="FFBEBEBE"/>
      </bottom>
      <diagonal/>
    </border>
    <border>
      <left style="thin">
        <color rgb="FF000000"/>
      </left>
      <right/>
      <top/>
      <bottom/>
      <diagonal/>
    </border>
    <border>
      <left style="thin">
        <color rgb="FFBEBEBE"/>
      </left>
      <right/>
      <top style="thin">
        <color rgb="FFBEBEBE"/>
      </top>
      <bottom style="thin">
        <color rgb="FFBEBEBE"/>
      </bottom>
      <diagonal/>
    </border>
    <border>
      <left/>
      <right style="thin">
        <color rgb="FFBEBEBE"/>
      </right>
      <top style="thin">
        <color rgb="FFBEBEBE"/>
      </top>
      <bottom style="thin">
        <color rgb="FFBEBEBE"/>
      </bottom>
      <diagonal/>
    </border>
    <border>
      <left style="thin">
        <color rgb="FFBEBEBE"/>
      </left>
      <right style="thin">
        <color rgb="FFBEBEBE"/>
      </right>
      <top style="thin">
        <color rgb="FFBEBEBE"/>
      </top>
      <bottom style="thin">
        <color rgb="FFBEBEBE"/>
      </bottom>
      <diagonal/>
    </border>
    <border>
      <left style="thin">
        <color rgb="FF000000"/>
      </left>
      <right style="thin">
        <color rgb="FF000000"/>
      </right>
      <top style="thin">
        <color rgb="FFBEBEBE"/>
      </top>
      <bottom style="thin">
        <color rgb="FF000000"/>
      </bottom>
      <diagonal/>
    </border>
    <border>
      <left style="thin">
        <color rgb="FF000000"/>
      </left>
      <right/>
      <top style="thin">
        <color rgb="FFBEBEBE"/>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B7B7B7"/>
      </left>
      <right/>
      <top style="thin">
        <color rgb="FFB7B7B7"/>
      </top>
      <bottom style="thin">
        <color rgb="FFB7B7B7"/>
      </bottom>
      <diagonal/>
    </border>
    <border>
      <left/>
      <right style="thin">
        <color rgb="FF000000"/>
      </right>
      <top style="thin">
        <color rgb="FFB7B7B7"/>
      </top>
      <bottom style="thin">
        <color rgb="FFB7B7B7"/>
      </bottom>
      <diagonal/>
    </border>
    <border>
      <left style="thin">
        <color rgb="FFB7B7B7"/>
      </left>
      <right style="thin">
        <color rgb="FFB7B7B7"/>
      </right>
      <top style="thin">
        <color rgb="FFB7B7B7"/>
      </top>
      <bottom style="thin">
        <color rgb="FF000000"/>
      </bottom>
      <diagonal/>
    </border>
    <border>
      <left style="thin">
        <color rgb="FFB7B7B7"/>
      </left>
      <right style="thin">
        <color rgb="FFB7B7B7"/>
      </right>
      <top/>
      <bottom style="thin">
        <color rgb="FFB7B7B7"/>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xf>
    <xf numFmtId="0" fontId="7"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wrapText="1"/>
    </xf>
    <xf numFmtId="0" fontId="1" fillId="2" borderId="0" xfId="0" applyFont="1" applyFill="1" applyAlignment="1">
      <alignment horizontal="center" vertical="center" wrapText="1"/>
    </xf>
    <xf numFmtId="0" fontId="9" fillId="0" borderId="0" xfId="0" applyFont="1" applyAlignment="1">
      <alignment horizontal="center" vertical="center" wrapText="1"/>
    </xf>
    <xf numFmtId="0" fontId="4" fillId="0" borderId="0" xfId="0" applyFont="1" applyAlignment="1">
      <alignment horizontal="center" vertical="center" wrapText="1" readingOrder="1"/>
    </xf>
    <xf numFmtId="0" fontId="4" fillId="0" borderId="0" xfId="0" applyFont="1" applyAlignment="1">
      <alignment horizontal="center" vertical="center"/>
    </xf>
    <xf numFmtId="0" fontId="4" fillId="0" borderId="0" xfId="0" applyFont="1" applyAlignment="1">
      <alignment horizontal="center" vertical="center" wrapText="1"/>
    </xf>
    <xf numFmtId="0" fontId="0" fillId="0" borderId="3" xfId="0" applyBorder="1" applyAlignment="1">
      <alignment horizontal="left" vertical="center" wrapText="1"/>
    </xf>
    <xf numFmtId="0" fontId="0" fillId="0" borderId="0" xfId="0" applyAlignment="1">
      <alignment horizontal="left" vertical="top"/>
    </xf>
    <xf numFmtId="0" fontId="14" fillId="5" borderId="6" xfId="0" applyFont="1" applyFill="1" applyBorder="1" applyAlignment="1">
      <alignment horizontal="left" vertical="top" wrapText="1"/>
    </xf>
    <xf numFmtId="0" fontId="0" fillId="0" borderId="7" xfId="0" applyBorder="1" applyAlignment="1">
      <alignment horizontal="left" wrapText="1"/>
    </xf>
    <xf numFmtId="0" fontId="0" fillId="0" borderId="8" xfId="0" applyBorder="1" applyAlignment="1">
      <alignment horizontal="left" wrapText="1"/>
    </xf>
    <xf numFmtId="0" fontId="0" fillId="0" borderId="3"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16" fillId="4" borderId="12" xfId="0" applyFont="1" applyFill="1" applyBorder="1" applyAlignment="1">
      <alignment horizontal="center" vertical="top" wrapText="1"/>
    </xf>
    <xf numFmtId="0" fontId="16" fillId="4" borderId="13" xfId="0" applyFont="1" applyFill="1" applyBorder="1" applyAlignment="1">
      <alignment horizontal="center" vertical="top" wrapText="1"/>
    </xf>
    <xf numFmtId="0" fontId="14" fillId="5" borderId="12" xfId="0" applyFont="1" applyFill="1" applyBorder="1" applyAlignment="1">
      <alignment horizontal="left" vertical="top" wrapText="1"/>
    </xf>
    <xf numFmtId="0" fontId="0" fillId="0" borderId="12" xfId="0" applyBorder="1" applyAlignment="1">
      <alignment horizontal="left" wrapText="1"/>
    </xf>
    <xf numFmtId="0" fontId="0" fillId="0" borderId="13" xfId="0" applyBorder="1" applyAlignment="1">
      <alignment horizontal="left" wrapText="1"/>
    </xf>
    <xf numFmtId="1" fontId="18" fillId="7" borderId="13" xfId="0" applyNumberFormat="1" applyFont="1" applyFill="1" applyBorder="1" applyAlignment="1">
      <alignment horizontal="center" vertical="center" shrinkToFit="1"/>
    </xf>
    <xf numFmtId="1" fontId="18" fillId="6" borderId="13" xfId="0" applyNumberFormat="1" applyFont="1" applyFill="1" applyBorder="1" applyAlignment="1">
      <alignment horizontal="center" vertical="center" shrinkToFit="1"/>
    </xf>
    <xf numFmtId="0" fontId="19" fillId="0" borderId="4" xfId="0" applyFont="1" applyBorder="1" applyAlignment="1">
      <alignment horizontal="left" vertical="top" wrapText="1"/>
    </xf>
    <xf numFmtId="0" fontId="2" fillId="0" borderId="1" xfId="0" applyFont="1" applyBorder="1" applyAlignment="1">
      <alignment vertical="top" wrapText="1"/>
    </xf>
    <xf numFmtId="0" fontId="2" fillId="0" borderId="0" xfId="0" applyFont="1" applyAlignment="1">
      <alignment vertical="top"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10" fontId="2" fillId="0" borderId="0" xfId="0" applyNumberFormat="1" applyFont="1" applyAlignment="1">
      <alignment horizontal="center" vertical="center" wrapText="1"/>
    </xf>
    <xf numFmtId="0" fontId="20" fillId="2" borderId="0" xfId="0" applyFont="1" applyFill="1" applyAlignment="1">
      <alignment horizontal="left" vertical="center" inden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10" fillId="3" borderId="2" xfId="0" applyFont="1" applyFill="1" applyBorder="1" applyAlignment="1">
      <alignment horizontal="center" vertical="top"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0" fillId="0" borderId="3" xfId="0" applyBorder="1" applyAlignment="1">
      <alignment horizontal="left" vertical="center" wrapText="1"/>
    </xf>
    <xf numFmtId="0" fontId="10" fillId="3" borderId="11" xfId="0" applyFont="1" applyFill="1" applyBorder="1" applyAlignment="1">
      <alignment horizontal="center" vertical="top" wrapText="1"/>
    </xf>
    <xf numFmtId="0" fontId="21"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966D-6BD8-457E-B126-2A0865391CED}">
  <dimension ref="A1:C29"/>
  <sheetViews>
    <sheetView workbookViewId="0">
      <selection activeCell="B4" sqref="B4"/>
    </sheetView>
  </sheetViews>
  <sheetFormatPr defaultRowHeight="15"/>
  <cols>
    <col min="1" max="1" width="35" style="17" customWidth="1"/>
    <col min="2" max="2" width="54.42578125" style="17" customWidth="1"/>
    <col min="3" max="3" width="15" style="17" customWidth="1"/>
    <col min="4" max="16384" width="9.140625" style="17"/>
  </cols>
  <sheetData>
    <row r="1" spans="1:3" ht="34.5" customHeight="1">
      <c r="A1" s="40" t="s">
        <v>0</v>
      </c>
      <c r="B1" s="40"/>
      <c r="C1" s="16"/>
    </row>
    <row r="2" spans="1:3" ht="24" customHeight="1">
      <c r="A2" s="41" t="s">
        <v>1</v>
      </c>
      <c r="B2" s="42"/>
      <c r="C2" s="16"/>
    </row>
    <row r="3" spans="1:3" ht="19.5" customHeight="1">
      <c r="A3" s="18" t="s">
        <v>2</v>
      </c>
      <c r="B3" s="31" t="s">
        <v>3</v>
      </c>
      <c r="C3" s="43"/>
    </row>
    <row r="4" spans="1:3" ht="19.5" customHeight="1">
      <c r="A4" s="18" t="s">
        <v>4</v>
      </c>
      <c r="B4" s="45" t="s">
        <v>5</v>
      </c>
      <c r="C4" s="43"/>
    </row>
    <row r="5" spans="1:3" ht="19.5" customHeight="1">
      <c r="A5" s="18" t="s">
        <v>6</v>
      </c>
      <c r="B5" s="32" t="s">
        <v>7</v>
      </c>
      <c r="C5" s="16"/>
    </row>
    <row r="6" spans="1:3" ht="26.25" customHeight="1">
      <c r="A6" s="18" t="s">
        <v>8</v>
      </c>
      <c r="B6" s="32" t="s">
        <v>9</v>
      </c>
      <c r="C6" s="16"/>
    </row>
    <row r="7" spans="1:3" ht="14.45" customHeight="1">
      <c r="A7" s="19"/>
      <c r="B7" s="20"/>
      <c r="C7" s="21"/>
    </row>
    <row r="8" spans="1:3" ht="27.75" customHeight="1">
      <c r="A8" s="37" t="s">
        <v>10</v>
      </c>
      <c r="B8" s="37"/>
      <c r="C8" s="21"/>
    </row>
    <row r="9" spans="1:3" ht="99.75" customHeight="1">
      <c r="A9" s="38" t="s">
        <v>11</v>
      </c>
      <c r="B9" s="39"/>
      <c r="C9" s="21"/>
    </row>
    <row r="10" spans="1:3" ht="19.5" customHeight="1">
      <c r="A10" s="19"/>
      <c r="B10" s="33"/>
      <c r="C10" s="21"/>
    </row>
    <row r="11" spans="1:3" ht="28.35" customHeight="1">
      <c r="A11" s="44" t="s">
        <v>12</v>
      </c>
      <c r="B11" s="44"/>
      <c r="C11" s="16"/>
    </row>
    <row r="12" spans="1:3" ht="24" customHeight="1">
      <c r="A12" s="24" t="s">
        <v>13</v>
      </c>
      <c r="B12" s="25" t="s">
        <v>14</v>
      </c>
      <c r="C12" s="16"/>
    </row>
    <row r="13" spans="1:3" ht="27.75" customHeight="1">
      <c r="A13" s="26" t="s">
        <v>15</v>
      </c>
      <c r="B13" s="2" t="s">
        <v>16</v>
      </c>
      <c r="C13" s="16"/>
    </row>
    <row r="14" spans="1:3" ht="29.25" customHeight="1">
      <c r="A14" s="26" t="s">
        <v>17</v>
      </c>
      <c r="B14" s="30" t="s">
        <v>18</v>
      </c>
      <c r="C14" s="16"/>
    </row>
    <row r="15" spans="1:3" ht="30.75" customHeight="1">
      <c r="A15" s="26" t="s">
        <v>19</v>
      </c>
      <c r="B15" s="29" t="s">
        <v>20</v>
      </c>
      <c r="C15" s="16"/>
    </row>
    <row r="16" spans="1:3" ht="21" customHeight="1">
      <c r="A16" s="26" t="s">
        <v>21</v>
      </c>
      <c r="B16" s="2" t="s">
        <v>22</v>
      </c>
      <c r="C16" s="21"/>
    </row>
    <row r="17" spans="1:3" ht="21" customHeight="1">
      <c r="A17" s="26" t="s">
        <v>23</v>
      </c>
      <c r="B17" s="36">
        <v>8.9099999999999999E-2</v>
      </c>
      <c r="C17" s="21"/>
    </row>
    <row r="18" spans="1:3" ht="14.45" customHeight="1">
      <c r="A18" s="27"/>
      <c r="B18" s="28"/>
      <c r="C18" s="21"/>
    </row>
    <row r="19" spans="1:3" ht="15" customHeight="1">
      <c r="A19" s="22"/>
      <c r="B19" s="23"/>
      <c r="C19" s="21"/>
    </row>
    <row r="20" spans="1:3" ht="18.75" customHeight="1">
      <c r="A20" s="44" t="s">
        <v>24</v>
      </c>
      <c r="B20" s="44"/>
      <c r="C20" s="21"/>
    </row>
    <row r="21" spans="1:3" ht="31.5" customHeight="1">
      <c r="A21" s="26" t="s">
        <v>25</v>
      </c>
      <c r="B21" s="2" t="s">
        <v>20</v>
      </c>
      <c r="C21" s="16"/>
    </row>
    <row r="22" spans="1:3" ht="42" customHeight="1">
      <c r="A22" s="26" t="s">
        <v>26</v>
      </c>
      <c r="B22" s="2">
        <v>9</v>
      </c>
      <c r="C22" s="16"/>
    </row>
    <row r="23" spans="1:3" ht="41.25" customHeight="1">
      <c r="A23" s="26" t="s">
        <v>27</v>
      </c>
      <c r="B23" s="34">
        <v>0</v>
      </c>
      <c r="C23" s="16"/>
    </row>
    <row r="24" spans="1:3" ht="15" customHeight="1">
      <c r="B24" s="35"/>
    </row>
    <row r="25" spans="1:3" ht="15" customHeight="1">
      <c r="B25" s="2"/>
    </row>
    <row r="26" spans="1:3" ht="15" customHeight="1"/>
    <row r="27" spans="1:3" ht="15" customHeight="1"/>
    <row r="28" spans="1:3" ht="15" customHeight="1"/>
    <row r="29" spans="1:3" ht="32.25" customHeight="1"/>
  </sheetData>
  <mergeCells count="7">
    <mergeCell ref="A11:B11"/>
    <mergeCell ref="A20:B20"/>
    <mergeCell ref="A8:B8"/>
    <mergeCell ref="A9:B9"/>
    <mergeCell ref="A1:B1"/>
    <mergeCell ref="A2:B2"/>
    <mergeCell ref="C3: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2"/>
  <sheetViews>
    <sheetView zoomScaleNormal="100" workbookViewId="0">
      <pane ySplit="1" topLeftCell="A8" activePane="bottomLeft" state="frozen"/>
      <selection pane="bottomLeft" activeCell="D15" sqref="D15"/>
    </sheetView>
  </sheetViews>
  <sheetFormatPr defaultColWidth="64" defaultRowHeight="33.75" customHeight="1"/>
  <cols>
    <col min="1" max="1" width="12.85546875" style="7" customWidth="1"/>
    <col min="2" max="2" width="69.28515625" style="7" customWidth="1"/>
    <col min="3" max="3" width="16.140625" style="7" customWidth="1"/>
    <col min="4" max="16384" width="64" style="7"/>
  </cols>
  <sheetData>
    <row r="1" spans="1:3" ht="33.75" customHeight="1">
      <c r="A1" s="9" t="s">
        <v>28</v>
      </c>
      <c r="B1" s="9" t="s">
        <v>29</v>
      </c>
      <c r="C1" s="9" t="s">
        <v>30</v>
      </c>
    </row>
    <row r="2" spans="1:3" ht="33.75" customHeight="1">
      <c r="A2" s="8" t="s">
        <v>31</v>
      </c>
      <c r="B2" s="6" t="s">
        <v>32</v>
      </c>
      <c r="C2" s="8" t="str">
        <f>IF(COUNTIF('Bug Reports'!$B$2:$B$10,A2)&gt;0,"Fail","Pass")</f>
        <v>Pass</v>
      </c>
    </row>
    <row r="3" spans="1:3" ht="33.75" customHeight="1">
      <c r="A3" s="8" t="s">
        <v>33</v>
      </c>
      <c r="B3" s="6" t="s">
        <v>34</v>
      </c>
      <c r="C3" s="8" t="str">
        <f>IF(COUNTIF('Bug Reports'!$B$2:$B$10,A3)&gt;0,"Fail","Pass")</f>
        <v>Pass</v>
      </c>
    </row>
    <row r="4" spans="1:3" ht="33.75" customHeight="1">
      <c r="A4" s="8" t="s">
        <v>35</v>
      </c>
      <c r="B4" s="6" t="s">
        <v>36</v>
      </c>
      <c r="C4" s="8" t="str">
        <f>IF(COUNTIF('Bug Reports'!$B$2:$B$10,A4)&gt;0,"Fail","Pass")</f>
        <v>Pass</v>
      </c>
    </row>
    <row r="5" spans="1:3" ht="33.75" customHeight="1">
      <c r="A5" s="8" t="s">
        <v>37</v>
      </c>
      <c r="B5" s="6" t="s">
        <v>38</v>
      </c>
      <c r="C5" s="8" t="str">
        <f>IF(COUNTIF('Bug Reports'!$B$2:$B$10,A5)&gt;0,"Fail","Pass")</f>
        <v>Pass</v>
      </c>
    </row>
    <row r="6" spans="1:3" ht="33.75" customHeight="1">
      <c r="A6" s="8" t="s">
        <v>39</v>
      </c>
      <c r="B6" s="6" t="s">
        <v>40</v>
      </c>
      <c r="C6" s="8" t="str">
        <f>IF(COUNTIF('Bug Reports'!$B$2:$B$10,A6)&gt;0,"Fail","Pass")</f>
        <v>Pass</v>
      </c>
    </row>
    <row r="7" spans="1:3" ht="33.75" customHeight="1">
      <c r="A7" s="8" t="s">
        <v>41</v>
      </c>
      <c r="B7" s="6" t="s">
        <v>42</v>
      </c>
      <c r="C7" s="8" t="str">
        <f>IF(COUNTIF('Bug Reports'!$B$2:$B$10,A7)&gt;0,"Fail","Pass")</f>
        <v>Pass</v>
      </c>
    </row>
    <row r="8" spans="1:3" ht="33.75" customHeight="1">
      <c r="A8" s="8" t="s">
        <v>43</v>
      </c>
      <c r="B8" s="6" t="s">
        <v>44</v>
      </c>
      <c r="C8" s="8" t="str">
        <f>IF(COUNTIF('Bug Reports'!$B$2:$B$10,A8)&gt;0,"Fail","Pass")</f>
        <v>Pass</v>
      </c>
    </row>
    <row r="9" spans="1:3" ht="33.75" customHeight="1">
      <c r="A9" s="8" t="s">
        <v>45</v>
      </c>
      <c r="B9" s="6" t="s">
        <v>46</v>
      </c>
      <c r="C9" s="8" t="str">
        <f>IF(COUNTIF('Bug Reports'!$B$2:$B$10,A9)&gt;0,"Fail","Pass")</f>
        <v>Fail</v>
      </c>
    </row>
    <row r="10" spans="1:3" ht="33.75" customHeight="1">
      <c r="A10" s="8" t="s">
        <v>47</v>
      </c>
      <c r="B10" s="6" t="s">
        <v>48</v>
      </c>
      <c r="C10" s="8" t="str">
        <f>IF(COUNTIF('Bug Reports'!$B$2:$B$10,A10)&gt;0,"Fail","Pass")</f>
        <v>Pass</v>
      </c>
    </row>
    <row r="11" spans="1:3" ht="33.75" customHeight="1">
      <c r="A11" s="8" t="s">
        <v>49</v>
      </c>
      <c r="B11" s="6" t="s">
        <v>50</v>
      </c>
      <c r="C11" s="8" t="str">
        <f>IF(COUNTIF('Bug Reports'!$B$2:$B$10,A11)&gt;0,"Fail","Pass")</f>
        <v>Pass</v>
      </c>
    </row>
    <row r="12" spans="1:3" ht="33.75" customHeight="1">
      <c r="A12" s="8" t="s">
        <v>51</v>
      </c>
      <c r="B12" s="6" t="s">
        <v>52</v>
      </c>
      <c r="C12" s="8" t="str">
        <f>IF(COUNTIF('Bug Reports'!$B$2:$B$10,A12)&gt;0,"Fail","Pass")</f>
        <v>Pass</v>
      </c>
    </row>
    <row r="13" spans="1:3" ht="33.75" customHeight="1">
      <c r="A13" s="8" t="s">
        <v>53</v>
      </c>
      <c r="B13" s="6" t="s">
        <v>54</v>
      </c>
      <c r="C13" s="8" t="str">
        <f>IF(COUNTIF('Bug Reports'!$B$2:$B$10,A13)&gt;0,"Fail","Pass")</f>
        <v>Fail</v>
      </c>
    </row>
    <row r="14" spans="1:3" ht="33.75" customHeight="1">
      <c r="A14" s="8" t="s">
        <v>55</v>
      </c>
      <c r="B14" s="6" t="s">
        <v>56</v>
      </c>
      <c r="C14" s="8" t="str">
        <f>IF(COUNTIF('Bug Reports'!$B$2:$B$10,A14)&gt;0,"Fail","Pass")</f>
        <v>Pass</v>
      </c>
    </row>
    <row r="15" spans="1:3" ht="33.75" customHeight="1">
      <c r="A15" s="8" t="s">
        <v>57</v>
      </c>
      <c r="B15" s="6" t="s">
        <v>58</v>
      </c>
      <c r="C15" s="8" t="str">
        <f>IF(COUNTIF('Bug Reports'!$B$2:$B$10,A15)&gt;0,"Fail","Pass")</f>
        <v>Pass</v>
      </c>
    </row>
    <row r="16" spans="1:3" ht="33.75" customHeight="1">
      <c r="A16" s="8" t="s">
        <v>59</v>
      </c>
      <c r="B16" s="6" t="s">
        <v>60</v>
      </c>
      <c r="C16" s="8" t="str">
        <f>IF(COUNTIF('Bug Reports'!$B$2:$B$10,A16)&gt;0,"Fail","Pass")</f>
        <v>Pass</v>
      </c>
    </row>
    <row r="17" spans="1:3" ht="33.75" customHeight="1">
      <c r="A17" s="8" t="s">
        <v>61</v>
      </c>
      <c r="B17" s="6" t="s">
        <v>62</v>
      </c>
      <c r="C17" s="8" t="str">
        <f>IF(COUNTIF('Bug Reports'!$B$2:$B$10,A17)&gt;0,"Fail","Pass")</f>
        <v>Fail</v>
      </c>
    </row>
    <row r="18" spans="1:3" ht="33.75" customHeight="1">
      <c r="A18" s="8" t="s">
        <v>63</v>
      </c>
      <c r="B18" s="6" t="s">
        <v>64</v>
      </c>
      <c r="C18" s="8" t="str">
        <f>IF(COUNTIF('Bug Reports'!$B$2:$B$10,A18)&gt;0,"Fail","Pass")</f>
        <v>Pass</v>
      </c>
    </row>
    <row r="19" spans="1:3" ht="33.75" customHeight="1">
      <c r="A19" s="8" t="s">
        <v>65</v>
      </c>
      <c r="B19" s="6" t="s">
        <v>66</v>
      </c>
      <c r="C19" s="8" t="str">
        <f>IF(COUNTIF('Bug Reports'!$B$2:$B$10,A19)&gt;0,"Fail","Pass")</f>
        <v>Pass</v>
      </c>
    </row>
    <row r="20" spans="1:3" ht="33.75" customHeight="1">
      <c r="A20" s="8" t="s">
        <v>67</v>
      </c>
      <c r="B20" s="6" t="s">
        <v>68</v>
      </c>
      <c r="C20" s="8" t="str">
        <f>IF(COUNTIF('Bug Reports'!$B$2:$B$10,A20)&gt;0,"Fail","Pass")</f>
        <v>Pass</v>
      </c>
    </row>
    <row r="21" spans="1:3" ht="33.75" customHeight="1">
      <c r="A21" s="8" t="s">
        <v>69</v>
      </c>
      <c r="B21" s="6" t="s">
        <v>70</v>
      </c>
      <c r="C21" s="8" t="str">
        <f>IF(COUNTIF('Bug Reports'!$B$2:$B$10,A21)&gt;0,"Fail","Pass")</f>
        <v>Pass</v>
      </c>
    </row>
    <row r="22" spans="1:3" ht="33.75" customHeight="1">
      <c r="A22" s="8" t="s">
        <v>71</v>
      </c>
      <c r="B22" s="6" t="s">
        <v>72</v>
      </c>
      <c r="C22" s="8" t="str">
        <f>IF(COUNTIF('Bug Reports'!$B$2:$B$10,A22)&gt;0,"Fail","Pass")</f>
        <v>Pass</v>
      </c>
    </row>
    <row r="23" spans="1:3" ht="33.75" customHeight="1">
      <c r="A23" s="8" t="s">
        <v>73</v>
      </c>
      <c r="B23" s="6" t="s">
        <v>74</v>
      </c>
      <c r="C23" s="8" t="str">
        <f>IF(COUNTIF('Bug Reports'!$B$2:$B$10,A23)&gt;0,"Fail","Pass")</f>
        <v>Pass</v>
      </c>
    </row>
    <row r="24" spans="1:3" ht="33.75" customHeight="1">
      <c r="A24" s="8" t="s">
        <v>75</v>
      </c>
      <c r="B24" s="6" t="s">
        <v>76</v>
      </c>
      <c r="C24" s="8" t="str">
        <f>IF(COUNTIF('Bug Reports'!$B$2:$B$10,A24)&gt;0,"Fail","Pass")</f>
        <v>Pass</v>
      </c>
    </row>
    <row r="25" spans="1:3" ht="33.75" customHeight="1">
      <c r="A25" s="8" t="s">
        <v>77</v>
      </c>
      <c r="B25" s="6" t="s">
        <v>78</v>
      </c>
      <c r="C25" s="8" t="str">
        <f>IF(COUNTIF('Bug Reports'!$B$2:$B$10,A25)&gt;0,"Fail","Pass")</f>
        <v>Pass</v>
      </c>
    </row>
    <row r="26" spans="1:3" ht="33.75" customHeight="1">
      <c r="A26" s="8" t="s">
        <v>79</v>
      </c>
      <c r="B26" s="6" t="s">
        <v>80</v>
      </c>
      <c r="C26" s="8" t="str">
        <f>IF(COUNTIF('Bug Reports'!$B$2:$B$10,A26)&gt;0,"Fail","Pass")</f>
        <v>Pass</v>
      </c>
    </row>
    <row r="27" spans="1:3" ht="33.75" customHeight="1">
      <c r="A27" s="8" t="s">
        <v>81</v>
      </c>
      <c r="B27" s="6" t="s">
        <v>82</v>
      </c>
      <c r="C27" s="8" t="str">
        <f>IF(COUNTIF('Bug Reports'!$B$2:$B$10,A27)&gt;0,"Fail","Pass")</f>
        <v>Pass</v>
      </c>
    </row>
    <row r="28" spans="1:3" ht="33.75" customHeight="1">
      <c r="A28" s="8" t="s">
        <v>83</v>
      </c>
      <c r="B28" s="6" t="s">
        <v>84</v>
      </c>
      <c r="C28" s="8" t="str">
        <f>IF(COUNTIF('Bug Reports'!$B$2:$B$10,A28)&gt;0,"Fail","Pass")</f>
        <v>Pass</v>
      </c>
    </row>
    <row r="29" spans="1:3" ht="33.75" customHeight="1">
      <c r="A29" s="8" t="s">
        <v>85</v>
      </c>
      <c r="B29" s="6" t="s">
        <v>86</v>
      </c>
      <c r="C29" s="8" t="str">
        <f>IF(COUNTIF('Bug Reports'!$B$2:$B$10,A29)&gt;0,"Fail","Pass")</f>
        <v>Pass</v>
      </c>
    </row>
    <row r="30" spans="1:3" ht="33.75" customHeight="1">
      <c r="A30" s="8" t="s">
        <v>87</v>
      </c>
      <c r="B30" s="6" t="s">
        <v>88</v>
      </c>
      <c r="C30" s="8" t="str">
        <f>IF(COUNTIF('Bug Reports'!$B$2:$B$10,A30)&gt;0,"Fail","Pass")</f>
        <v>Pass</v>
      </c>
    </row>
    <row r="31" spans="1:3" ht="33.75" customHeight="1">
      <c r="A31" s="8" t="s">
        <v>89</v>
      </c>
      <c r="B31" s="6" t="s">
        <v>90</v>
      </c>
      <c r="C31" s="8" t="str">
        <f>IF(COUNTIF('Bug Reports'!$B$2:$B$10,A31)&gt;0,"Fail","Pass")</f>
        <v>Pass</v>
      </c>
    </row>
    <row r="32" spans="1:3" ht="33.75" customHeight="1">
      <c r="A32" s="8" t="s">
        <v>91</v>
      </c>
      <c r="B32" s="6" t="s">
        <v>92</v>
      </c>
      <c r="C32" s="8" t="str">
        <f>IF(COUNTIF('Bug Reports'!$B$2:$B$10,A32)&gt;0,"Fail","Pass")</f>
        <v>Pass</v>
      </c>
    </row>
    <row r="33" spans="1:3" ht="33.75" customHeight="1">
      <c r="A33" s="8" t="s">
        <v>93</v>
      </c>
      <c r="B33" s="6" t="s">
        <v>94</v>
      </c>
      <c r="C33" s="8" t="str">
        <f>IF(COUNTIF('Bug Reports'!$B$2:$B$10,A33)&gt;0,"Fail","Pass")</f>
        <v>Pass</v>
      </c>
    </row>
    <row r="34" spans="1:3" ht="33.75" customHeight="1">
      <c r="A34" s="8" t="s">
        <v>95</v>
      </c>
      <c r="B34" s="6" t="s">
        <v>96</v>
      </c>
      <c r="C34" s="8" t="str">
        <f>IF(COUNTIF('Bug Reports'!$B$2:$B$10,A34)&gt;0,"Fail","Pass")</f>
        <v>Pass</v>
      </c>
    </row>
    <row r="35" spans="1:3" ht="33.75" customHeight="1">
      <c r="A35" s="8" t="s">
        <v>97</v>
      </c>
      <c r="B35" s="6" t="s">
        <v>98</v>
      </c>
      <c r="C35" s="8" t="str">
        <f>IF(COUNTIF('Bug Reports'!$B$2:$B$10,A35)&gt;0,"Fail","Pass")</f>
        <v>Pass</v>
      </c>
    </row>
    <row r="36" spans="1:3" ht="33.75" customHeight="1">
      <c r="A36" s="8" t="s">
        <v>99</v>
      </c>
      <c r="B36" s="6" t="s">
        <v>100</v>
      </c>
      <c r="C36" s="8" t="str">
        <f>IF(COUNTIF('Bug Reports'!$B$2:$B$10,A36)&gt;0,"Fail","Pass")</f>
        <v>Pass</v>
      </c>
    </row>
    <row r="37" spans="1:3" ht="33.75" customHeight="1">
      <c r="A37" s="8" t="s">
        <v>101</v>
      </c>
      <c r="B37" s="6" t="s">
        <v>102</v>
      </c>
      <c r="C37" s="8" t="str">
        <f>IF(COUNTIF('Bug Reports'!$B$2:$B$10,A37)&gt;0,"Fail","Pass")</f>
        <v>Pass</v>
      </c>
    </row>
    <row r="38" spans="1:3" ht="33.75" customHeight="1">
      <c r="A38" s="8" t="s">
        <v>103</v>
      </c>
      <c r="B38" s="6" t="s">
        <v>104</v>
      </c>
      <c r="C38" s="8" t="str">
        <f>IF(COUNTIF('Bug Reports'!$B$2:$B$10,A38)&gt;0,"Fail","Pass")</f>
        <v>Pass</v>
      </c>
    </row>
    <row r="39" spans="1:3" ht="33.75" customHeight="1">
      <c r="A39" s="8" t="s">
        <v>105</v>
      </c>
      <c r="B39" s="6" t="s">
        <v>106</v>
      </c>
      <c r="C39" s="8" t="str">
        <f>IF(COUNTIF('Bug Reports'!$B$2:$B$10,A39)&gt;0,"Fail","Pass")</f>
        <v>Pass</v>
      </c>
    </row>
    <row r="40" spans="1:3" ht="33.75" customHeight="1">
      <c r="A40" s="8" t="s">
        <v>107</v>
      </c>
      <c r="B40" s="6" t="s">
        <v>108</v>
      </c>
      <c r="C40" s="8" t="str">
        <f>IF(COUNTIF('Bug Reports'!$B$2:$B$10,A40)&gt;0,"Fail","Pass")</f>
        <v>Pass</v>
      </c>
    </row>
    <row r="41" spans="1:3" ht="33.75" customHeight="1">
      <c r="A41" s="8" t="s">
        <v>109</v>
      </c>
      <c r="B41" s="6" t="s">
        <v>110</v>
      </c>
      <c r="C41" s="8" t="str">
        <f>IF(COUNTIF('Bug Reports'!$B$2:$B$10,A41)&gt;0,"Fail","Pass")</f>
        <v>Pass</v>
      </c>
    </row>
    <row r="42" spans="1:3" ht="33.75" customHeight="1">
      <c r="A42" s="8" t="s">
        <v>111</v>
      </c>
      <c r="B42" s="6" t="s">
        <v>112</v>
      </c>
      <c r="C42" s="8" t="str">
        <f>IF(COUNTIF('Bug Reports'!$B$2:$B$10,A42)&gt;0,"Fail","Pass")</f>
        <v>Pass</v>
      </c>
    </row>
    <row r="43" spans="1:3" ht="33.75" customHeight="1">
      <c r="A43" s="8" t="s">
        <v>113</v>
      </c>
      <c r="B43" s="6" t="s">
        <v>114</v>
      </c>
      <c r="C43" s="8" t="str">
        <f>IF(COUNTIF('Bug Reports'!$B$2:$B$10,A43)&gt;0,"Fail","Pass")</f>
        <v>Pass</v>
      </c>
    </row>
    <row r="44" spans="1:3" ht="33.75" customHeight="1">
      <c r="A44" s="8" t="s">
        <v>115</v>
      </c>
      <c r="B44" s="6" t="s">
        <v>116</v>
      </c>
      <c r="C44" s="8" t="str">
        <f>IF(COUNTIF('Bug Reports'!$B$2:$B$10,A44)&gt;0,"Fail","Pass")</f>
        <v>Fail</v>
      </c>
    </row>
    <row r="45" spans="1:3" ht="33.75" customHeight="1">
      <c r="A45" s="8" t="s">
        <v>117</v>
      </c>
      <c r="B45" s="6" t="s">
        <v>118</v>
      </c>
      <c r="C45" s="8" t="str">
        <f>IF(COUNTIF('Bug Reports'!$B$2:$B$10,A45)&gt;0,"Fail","Pass")</f>
        <v>Pass</v>
      </c>
    </row>
    <row r="46" spans="1:3" ht="33.75" customHeight="1">
      <c r="A46" s="8" t="s">
        <v>119</v>
      </c>
      <c r="B46" s="6" t="s">
        <v>120</v>
      </c>
      <c r="C46" s="8" t="str">
        <f>IF(COUNTIF('Bug Reports'!$B$2:$B$10,A46)&gt;0,"Fail","Pass")</f>
        <v>Pass</v>
      </c>
    </row>
    <row r="47" spans="1:3" ht="33.75" customHeight="1">
      <c r="A47" s="8" t="s">
        <v>121</v>
      </c>
      <c r="B47" s="6" t="s">
        <v>122</v>
      </c>
      <c r="C47" s="8" t="str">
        <f>IF(COUNTIF('Bug Reports'!$B$2:$B$10,A47)&gt;0,"Fail","Pass")</f>
        <v>Fail</v>
      </c>
    </row>
    <row r="48" spans="1:3" ht="33.75" customHeight="1">
      <c r="A48" s="8" t="s">
        <v>123</v>
      </c>
      <c r="B48" s="6" t="s">
        <v>124</v>
      </c>
      <c r="C48" s="8" t="str">
        <f>IF(COUNTIF('Bug Reports'!$B$2:$B$10,A48)&gt;0,"Fail","Pass")</f>
        <v>Fail</v>
      </c>
    </row>
    <row r="49" spans="1:3" ht="33.75" customHeight="1">
      <c r="A49" s="8" t="s">
        <v>125</v>
      </c>
      <c r="B49" s="6" t="s">
        <v>126</v>
      </c>
      <c r="C49" s="8" t="str">
        <f>IF(COUNTIF('Bug Reports'!$B$2:$B$10,A49)&gt;0,"Fail","Pass")</f>
        <v>Pass</v>
      </c>
    </row>
    <row r="50" spans="1:3" ht="33.75" customHeight="1">
      <c r="A50" s="8" t="s">
        <v>127</v>
      </c>
      <c r="B50" s="6" t="s">
        <v>128</v>
      </c>
      <c r="C50" s="8" t="str">
        <f>IF(COUNTIF('Bug Reports'!$B$2:$B$10,A50)&gt;0,"Fail","Pass")</f>
        <v>Pass</v>
      </c>
    </row>
    <row r="51" spans="1:3" ht="33.75" customHeight="1">
      <c r="A51" s="8" t="s">
        <v>129</v>
      </c>
      <c r="B51" s="6" t="s">
        <v>130</v>
      </c>
      <c r="C51" s="8" t="str">
        <f>IF(COUNTIF('Bug Reports'!$B$2:$B$10,A51)&gt;0,"Fail","Pass")</f>
        <v>Pass</v>
      </c>
    </row>
    <row r="52" spans="1:3" ht="33.75" customHeight="1">
      <c r="A52" s="8" t="s">
        <v>131</v>
      </c>
      <c r="B52" s="6" t="s">
        <v>132</v>
      </c>
      <c r="C52" s="8" t="str">
        <f>IF(COUNTIF('Bug Reports'!$B$2:$B$10,A52)&gt;0,"Fail","Pass")</f>
        <v>Pass</v>
      </c>
    </row>
    <row r="53" spans="1:3" ht="33.75" customHeight="1">
      <c r="A53" s="8" t="s">
        <v>133</v>
      </c>
      <c r="B53" s="6" t="s">
        <v>134</v>
      </c>
      <c r="C53" s="8" t="str">
        <f>IF(COUNTIF('Bug Reports'!$B$2:$B$10,A53)&gt;0,"Fail","Pass")</f>
        <v>Pass</v>
      </c>
    </row>
    <row r="54" spans="1:3" ht="33.75" customHeight="1">
      <c r="A54" s="8" t="s">
        <v>135</v>
      </c>
      <c r="B54" s="6" t="s">
        <v>136</v>
      </c>
      <c r="C54" s="8" t="str">
        <f>IF(COUNTIF('Bug Reports'!$B$2:$B$10,A54)&gt;0,"Fail","Pass")</f>
        <v>Pass</v>
      </c>
    </row>
    <row r="55" spans="1:3" ht="33.75" customHeight="1">
      <c r="A55" s="8" t="s">
        <v>137</v>
      </c>
      <c r="B55" s="6" t="s">
        <v>138</v>
      </c>
      <c r="C55" s="8" t="str">
        <f>IF(COUNTIF('Bug Reports'!$B$2:$B$10,A55)&gt;0,"Fail","Pass")</f>
        <v>Pass</v>
      </c>
    </row>
    <row r="56" spans="1:3" ht="33.75" customHeight="1">
      <c r="A56" s="8" t="s">
        <v>139</v>
      </c>
      <c r="B56" s="6" t="s">
        <v>140</v>
      </c>
      <c r="C56" s="8" t="str">
        <f>IF(COUNTIF('Bug Reports'!$B$2:$B$10,A56)&gt;0,"Fail","Pass")</f>
        <v>Pass</v>
      </c>
    </row>
    <row r="57" spans="1:3" ht="33.75" customHeight="1">
      <c r="A57" s="8" t="s">
        <v>141</v>
      </c>
      <c r="B57" s="6" t="s">
        <v>142</v>
      </c>
      <c r="C57" s="8" t="str">
        <f>IF(COUNTIF('Bug Reports'!$B$2:$B$10,A57)&gt;0,"Fail","Pass")</f>
        <v>Fail</v>
      </c>
    </row>
    <row r="58" spans="1:3" ht="33.75" customHeight="1">
      <c r="A58" s="8" t="s">
        <v>143</v>
      </c>
      <c r="B58" s="6" t="s">
        <v>144</v>
      </c>
      <c r="C58" s="8" t="str">
        <f>IF(COUNTIF('Bug Reports'!$B$2:$B$10,A58)&gt;0,"Fail","Pass")</f>
        <v>Pass</v>
      </c>
    </row>
    <row r="59" spans="1:3" ht="33.75" customHeight="1">
      <c r="A59" s="8" t="s">
        <v>145</v>
      </c>
      <c r="B59" s="6" t="s">
        <v>146</v>
      </c>
      <c r="C59" s="8" t="str">
        <f>IF(COUNTIF('Bug Reports'!$B$2:$B$10,A59)&gt;0,"Fail","Pass")</f>
        <v>Pass</v>
      </c>
    </row>
    <row r="60" spans="1:3" ht="33.75" customHeight="1">
      <c r="A60" s="8" t="s">
        <v>147</v>
      </c>
      <c r="B60" s="6" t="s">
        <v>148</v>
      </c>
      <c r="C60" s="8" t="str">
        <f>IF(COUNTIF('Bug Reports'!$B$2:$B$10,A60)&gt;0,"Fail","Pass")</f>
        <v>Pass</v>
      </c>
    </row>
    <row r="61" spans="1:3" ht="33.75" customHeight="1">
      <c r="A61" s="8" t="s">
        <v>149</v>
      </c>
      <c r="B61" s="6" t="s">
        <v>150</v>
      </c>
      <c r="C61" s="8" t="str">
        <f>IF(COUNTIF('Bug Reports'!$B$2:$B$10,A61)&gt;0,"Fail","Pass")</f>
        <v>Pass</v>
      </c>
    </row>
    <row r="62" spans="1:3" ht="33.75" customHeight="1">
      <c r="A62" s="8" t="s">
        <v>151</v>
      </c>
      <c r="B62" s="6" t="s">
        <v>152</v>
      </c>
      <c r="C62" s="8" t="str">
        <f>IF(COUNTIF('Bug Reports'!$B$2:$B$10,A62)&gt;0,"Fail","Pass")</f>
        <v>Fail</v>
      </c>
    </row>
    <row r="63" spans="1:3" ht="33.75" customHeight="1">
      <c r="A63" s="8" t="s">
        <v>153</v>
      </c>
      <c r="B63" s="6" t="s">
        <v>154</v>
      </c>
      <c r="C63" s="8" t="str">
        <f>IF(COUNTIF('Bug Reports'!$B$2:$B$10,A63)&gt;0,"Fail","Pass")</f>
        <v>Pass</v>
      </c>
    </row>
    <row r="64" spans="1:3" ht="33.75" customHeight="1">
      <c r="A64" s="8" t="s">
        <v>155</v>
      </c>
      <c r="B64" s="6" t="s">
        <v>156</v>
      </c>
      <c r="C64" s="8" t="str">
        <f>IF(COUNTIF('Bug Reports'!$B$2:$B$10,A64)&gt;0,"Fail","Pass")</f>
        <v>Pass</v>
      </c>
    </row>
    <row r="65" spans="1:3" ht="33.75" customHeight="1">
      <c r="A65" s="8" t="s">
        <v>157</v>
      </c>
      <c r="B65" s="6" t="s">
        <v>158</v>
      </c>
      <c r="C65" s="8" t="str">
        <f>IF(COUNTIF('Bug Reports'!$B$2:$B$10,A65)&gt;0,"Fail","Pass")</f>
        <v>Pass</v>
      </c>
    </row>
    <row r="66" spans="1:3" ht="33.75" customHeight="1">
      <c r="A66" s="8" t="s">
        <v>159</v>
      </c>
      <c r="B66" s="6" t="s">
        <v>160</v>
      </c>
      <c r="C66" s="8" t="str">
        <f>IF(COUNTIF('Bug Reports'!$B$2:$B$10,A66)&gt;0,"Fail","Pass")</f>
        <v>Pass</v>
      </c>
    </row>
    <row r="67" spans="1:3" ht="33.75" customHeight="1">
      <c r="A67" s="8" t="s">
        <v>161</v>
      </c>
      <c r="B67" s="6" t="s">
        <v>162</v>
      </c>
      <c r="C67" s="8" t="str">
        <f>IF(COUNTIF('Bug Reports'!$B$2:$B$10,A67)&gt;0,"Fail","Pass")</f>
        <v>Pass</v>
      </c>
    </row>
    <row r="68" spans="1:3" ht="33.75" customHeight="1">
      <c r="A68" s="8" t="s">
        <v>163</v>
      </c>
      <c r="B68" s="6" t="s">
        <v>164</v>
      </c>
      <c r="C68" s="8" t="str">
        <f>IF(COUNTIF('Bug Reports'!$B$2:$B$10,A68)&gt;0,"Fail","Pass")</f>
        <v>Pass</v>
      </c>
    </row>
    <row r="69" spans="1:3" ht="33.75" customHeight="1">
      <c r="A69" s="8" t="s">
        <v>165</v>
      </c>
      <c r="B69" s="6" t="s">
        <v>166</v>
      </c>
      <c r="C69" s="8" t="str">
        <f>IF(COUNTIF('Bug Reports'!$B$2:$B$10,A69)&gt;0,"Fail","Pass")</f>
        <v>Pass</v>
      </c>
    </row>
    <row r="70" spans="1:3" ht="33.75" customHeight="1">
      <c r="A70" s="8" t="s">
        <v>167</v>
      </c>
      <c r="B70" s="6" t="s">
        <v>168</v>
      </c>
      <c r="C70" s="8" t="str">
        <f>IF(COUNTIF('Bug Reports'!$B$2:$B$10,A70)&gt;0,"Fail","Pass")</f>
        <v>Fail</v>
      </c>
    </row>
    <row r="71" spans="1:3" ht="33.75" customHeight="1">
      <c r="A71" s="8" t="s">
        <v>169</v>
      </c>
      <c r="B71" s="6" t="s">
        <v>170</v>
      </c>
      <c r="C71" s="8" t="str">
        <f>IF(COUNTIF('Bug Reports'!$B$2:$B$10,A71)&gt;0,"Fail","Pass")</f>
        <v>Pass</v>
      </c>
    </row>
    <row r="72" spans="1:3" ht="33.75" customHeight="1">
      <c r="A72" s="8" t="s">
        <v>171</v>
      </c>
      <c r="B72" s="6" t="s">
        <v>172</v>
      </c>
      <c r="C72" s="8" t="str">
        <f>IF(COUNTIF('Bug Reports'!$B$2:$B$10,A72)&gt;0,"Fail","Pass")</f>
        <v>Pass</v>
      </c>
    </row>
    <row r="73" spans="1:3" ht="33.75" customHeight="1">
      <c r="A73" s="8" t="s">
        <v>173</v>
      </c>
      <c r="B73" s="6" t="s">
        <v>174</v>
      </c>
      <c r="C73" s="8" t="str">
        <f>IF(COUNTIF('Bug Reports'!$B$2:$B$10,A73)&gt;0,"Fail","Pass")</f>
        <v>Pass</v>
      </c>
    </row>
    <row r="74" spans="1:3" ht="33.75" customHeight="1">
      <c r="A74" s="8" t="s">
        <v>175</v>
      </c>
      <c r="B74" s="6" t="s">
        <v>176</v>
      </c>
      <c r="C74" s="8" t="str">
        <f>IF(COUNTIF('Bug Reports'!$B$2:$B$10,A74)&gt;0,"Fail","Pass")</f>
        <v>Pass</v>
      </c>
    </row>
    <row r="75" spans="1:3" ht="33.75" customHeight="1">
      <c r="A75" s="8" t="s">
        <v>177</v>
      </c>
      <c r="B75" s="6" t="s">
        <v>178</v>
      </c>
      <c r="C75" s="8" t="str">
        <f>IF(COUNTIF('Bug Reports'!$B$2:$B$10,A75)&gt;0,"Fail","Pass")</f>
        <v>Pass</v>
      </c>
    </row>
    <row r="76" spans="1:3" ht="33.75" customHeight="1">
      <c r="A76" s="8" t="s">
        <v>179</v>
      </c>
      <c r="B76" s="6" t="s">
        <v>180</v>
      </c>
      <c r="C76" s="8" t="str">
        <f>IF(COUNTIF('Bug Reports'!$B$2:$B$10,A76)&gt;0,"Fail","Pass")</f>
        <v>Pass</v>
      </c>
    </row>
    <row r="77" spans="1:3" ht="33.75" customHeight="1">
      <c r="A77" s="8" t="s">
        <v>181</v>
      </c>
      <c r="B77" s="6" t="s">
        <v>182</v>
      </c>
      <c r="C77" s="8" t="str">
        <f>IF(COUNTIF('Bug Reports'!$B$2:$B$10,A77)&gt;0,"Fail","Pass")</f>
        <v>Pass</v>
      </c>
    </row>
    <row r="78" spans="1:3" ht="33.75" customHeight="1">
      <c r="A78" s="8" t="s">
        <v>183</v>
      </c>
      <c r="B78" s="6" t="s">
        <v>184</v>
      </c>
      <c r="C78" s="8" t="str">
        <f>IF(COUNTIF('Bug Reports'!$B$2:$B$10,A78)&gt;0,"Fail","Pass")</f>
        <v>Pass</v>
      </c>
    </row>
    <row r="79" spans="1:3" ht="33.75" customHeight="1">
      <c r="A79" s="8" t="s">
        <v>185</v>
      </c>
      <c r="B79" s="6" t="s">
        <v>186</v>
      </c>
      <c r="C79" s="8" t="str">
        <f>IF(COUNTIF('Bug Reports'!$B$2:$B$10,A79)&gt;0,"Fail","Pass")</f>
        <v>Pass</v>
      </c>
    </row>
    <row r="80" spans="1:3" ht="33.75" customHeight="1">
      <c r="A80" s="8" t="s">
        <v>187</v>
      </c>
      <c r="B80" s="6" t="s">
        <v>188</v>
      </c>
      <c r="C80" s="8" t="str">
        <f>IF(COUNTIF('Bug Reports'!$B$2:$B$10,A80)&gt;0,"Fail","Pass")</f>
        <v>Pass</v>
      </c>
    </row>
    <row r="81" spans="1:3" ht="33.75" customHeight="1">
      <c r="A81" s="8" t="s">
        <v>189</v>
      </c>
      <c r="B81" s="6" t="s">
        <v>190</v>
      </c>
      <c r="C81" s="8" t="str">
        <f>IF(COUNTIF('Bug Reports'!$B$2:$B$10,A81)&gt;0,"Fail","Pass")</f>
        <v>Pass</v>
      </c>
    </row>
    <row r="82" spans="1:3" ht="33.75" customHeight="1">
      <c r="A82" s="8" t="s">
        <v>191</v>
      </c>
      <c r="B82" s="6" t="s">
        <v>192</v>
      </c>
      <c r="C82" s="8" t="str">
        <f>IF(COUNTIF('Bug Reports'!$B$2:$B$10,A82)&gt;0,"Fail","Pass")</f>
        <v>Pass</v>
      </c>
    </row>
    <row r="83" spans="1:3" ht="33.75" customHeight="1">
      <c r="A83" s="8" t="s">
        <v>193</v>
      </c>
      <c r="B83" s="6" t="s">
        <v>194</v>
      </c>
      <c r="C83" s="8" t="str">
        <f>IF(COUNTIF('Bug Reports'!$B$2:$B$10,A83)&gt;0,"Fail","Pass")</f>
        <v>Pass</v>
      </c>
    </row>
    <row r="84" spans="1:3" ht="33.75" customHeight="1">
      <c r="A84" s="8" t="s">
        <v>195</v>
      </c>
      <c r="B84" s="6" t="s">
        <v>196</v>
      </c>
      <c r="C84" s="8" t="str">
        <f>IF(COUNTIF('Bug Reports'!$B$2:$B$10,A84)&gt;0,"Fail","Pass")</f>
        <v>Pass</v>
      </c>
    </row>
    <row r="85" spans="1:3" ht="33.75" customHeight="1">
      <c r="A85" s="8" t="s">
        <v>197</v>
      </c>
      <c r="B85" s="6" t="s">
        <v>198</v>
      </c>
      <c r="C85" s="8" t="str">
        <f>IF(COUNTIF('Bug Reports'!$B$2:$B$10,A85)&gt;0,"Fail","Pass")</f>
        <v>Pass</v>
      </c>
    </row>
    <row r="86" spans="1:3" ht="33.75" customHeight="1">
      <c r="A86" s="8" t="s">
        <v>199</v>
      </c>
      <c r="B86" s="6" t="s">
        <v>200</v>
      </c>
      <c r="C86" s="8" t="str">
        <f>IF(COUNTIF('Bug Reports'!$B$2:$B$10,A86)&gt;0,"Fail","Pass")</f>
        <v>Pass</v>
      </c>
    </row>
    <row r="87" spans="1:3" ht="33.75" customHeight="1">
      <c r="A87" s="8" t="s">
        <v>201</v>
      </c>
      <c r="B87" s="6" t="s">
        <v>202</v>
      </c>
      <c r="C87" s="8" t="str">
        <f>IF(COUNTIF('Bug Reports'!$B$2:$B$10,A87)&gt;0,"Fail","Pass")</f>
        <v>Pass</v>
      </c>
    </row>
    <row r="88" spans="1:3" ht="33.75" customHeight="1">
      <c r="A88" s="8" t="s">
        <v>203</v>
      </c>
      <c r="B88" s="6" t="s">
        <v>204</v>
      </c>
      <c r="C88" s="8" t="str">
        <f>IF(COUNTIF('Bug Reports'!$B$2:$B$10,A88)&gt;0,"Fail","Pass")</f>
        <v>Pass</v>
      </c>
    </row>
    <row r="89" spans="1:3" ht="33.75" customHeight="1">
      <c r="A89" s="8" t="s">
        <v>205</v>
      </c>
      <c r="B89" s="6" t="s">
        <v>206</v>
      </c>
      <c r="C89" s="8" t="str">
        <f>IF(COUNTIF('Bug Reports'!$B$2:$B$10,A89)&gt;0,"Fail","Pass")</f>
        <v>Pass</v>
      </c>
    </row>
    <row r="90" spans="1:3" ht="33.75" customHeight="1">
      <c r="A90" s="8" t="s">
        <v>207</v>
      </c>
      <c r="B90" s="6" t="s">
        <v>208</v>
      </c>
      <c r="C90" s="8" t="str">
        <f>IF(COUNTIF('Bug Reports'!$B$2:$B$10,A90)&gt;0,"Fail","Pass")</f>
        <v>Pass</v>
      </c>
    </row>
    <row r="91" spans="1:3" ht="33.75" customHeight="1">
      <c r="A91" s="8" t="s">
        <v>209</v>
      </c>
      <c r="B91" s="6" t="s">
        <v>210</v>
      </c>
      <c r="C91" s="8" t="str">
        <f>IF(COUNTIF('Bug Reports'!$B$2:$B$10,A91)&gt;0,"Fail","Pass")</f>
        <v>Pass</v>
      </c>
    </row>
    <row r="92" spans="1:3" ht="33.75" customHeight="1">
      <c r="A92" s="8" t="s">
        <v>211</v>
      </c>
      <c r="B92" s="6" t="s">
        <v>212</v>
      </c>
      <c r="C92" s="8" t="str">
        <f>IF(COUNTIF('Bug Reports'!$B$2:$B$10,A92)&gt;0,"Fail","Pass")</f>
        <v>Pass</v>
      </c>
    </row>
    <row r="93" spans="1:3" ht="33.75" customHeight="1">
      <c r="A93" s="8" t="s">
        <v>213</v>
      </c>
      <c r="B93" s="6" t="s">
        <v>214</v>
      </c>
      <c r="C93" s="8" t="str">
        <f>IF(COUNTIF('Bug Reports'!$B$2:$B$10,A93)&gt;0,"Fail","Pass")</f>
        <v>Pass</v>
      </c>
    </row>
    <row r="94" spans="1:3" ht="33.75" customHeight="1">
      <c r="A94" s="8" t="s">
        <v>215</v>
      </c>
      <c r="B94" s="6" t="s">
        <v>216</v>
      </c>
      <c r="C94" s="8" t="str">
        <f>IF(COUNTIF('Bug Reports'!$B$2:$B$10,A94)&gt;0,"Fail","Pass")</f>
        <v>Pass</v>
      </c>
    </row>
    <row r="95" spans="1:3" ht="33.75" customHeight="1">
      <c r="A95" s="8" t="s">
        <v>217</v>
      </c>
      <c r="B95" s="6" t="s">
        <v>218</v>
      </c>
      <c r="C95" s="8" t="str">
        <f>IF(COUNTIF('Bug Reports'!$B$2:$B$10,A95)&gt;0,"Fail","Pass")</f>
        <v>Pass</v>
      </c>
    </row>
    <row r="96" spans="1:3" ht="33.75" customHeight="1">
      <c r="A96" s="8" t="s">
        <v>219</v>
      </c>
      <c r="B96" s="6" t="s">
        <v>220</v>
      </c>
      <c r="C96" s="8" t="str">
        <f>IF(COUNTIF('Bug Reports'!$B$2:$B$10,A96)&gt;0,"Fail","Pass")</f>
        <v>Pass</v>
      </c>
    </row>
    <row r="97" spans="1:3" ht="33.75" customHeight="1">
      <c r="A97" s="8" t="s">
        <v>221</v>
      </c>
      <c r="B97" s="6" t="s">
        <v>222</v>
      </c>
      <c r="C97" s="8" t="str">
        <f>IF(COUNTIF('Bug Reports'!$B$2:$B$10,A97)&gt;0,"Fail","Pass")</f>
        <v>Pass</v>
      </c>
    </row>
    <row r="98" spans="1:3" ht="33.75" customHeight="1">
      <c r="A98" s="8" t="s">
        <v>223</v>
      </c>
      <c r="B98" s="6" t="s">
        <v>224</v>
      </c>
      <c r="C98" s="8" t="str">
        <f>IF(COUNTIF('Bug Reports'!$B$2:$B$10,A98)&gt;0,"Fail","Pass")</f>
        <v>Pass</v>
      </c>
    </row>
    <row r="99" spans="1:3" ht="33.75" customHeight="1">
      <c r="A99" s="8" t="s">
        <v>225</v>
      </c>
      <c r="B99" s="6" t="s">
        <v>226</v>
      </c>
      <c r="C99" s="8" t="str">
        <f>IF(COUNTIF('Bug Reports'!$B$2:$B$10,A99)&gt;0,"Fail","Pass")</f>
        <v>Pass</v>
      </c>
    </row>
    <row r="100" spans="1:3" ht="33.75" customHeight="1">
      <c r="A100" s="8" t="s">
        <v>227</v>
      </c>
      <c r="B100" s="6" t="s">
        <v>228</v>
      </c>
      <c r="C100" s="8" t="str">
        <f>IF(COUNTIF('Bug Reports'!$B$2:$B$10,A100)&gt;0,"Fail","Pass")</f>
        <v>Pass</v>
      </c>
    </row>
    <row r="101" spans="1:3" ht="33.75" customHeight="1">
      <c r="A101" s="8" t="s">
        <v>229</v>
      </c>
      <c r="B101" s="6" t="s">
        <v>230</v>
      </c>
      <c r="C101" s="8" t="str">
        <f>IF(COUNTIF('Bug Reports'!$B$2:$B$10,A101)&gt;0,"Fail","Pass")</f>
        <v>Pass</v>
      </c>
    </row>
    <row r="102" spans="1:3" ht="33.75" customHeight="1">
      <c r="A102" s="8" t="s">
        <v>231</v>
      </c>
      <c r="B102" s="6" t="s">
        <v>232</v>
      </c>
      <c r="C102" s="8" t="str">
        <f>IF(COUNTIF('Bug Reports'!$B$2:$B$10,A102)&gt;0,"Fail","Pass")</f>
        <v>Pass</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zoomScaleNormal="100" workbookViewId="0">
      <pane ySplit="1" topLeftCell="A3" activePane="bottomLeft" state="frozen"/>
      <selection pane="bottomLeft" activeCell="C7" sqref="C7"/>
    </sheetView>
  </sheetViews>
  <sheetFormatPr defaultColWidth="8.7109375" defaultRowHeight="15"/>
  <cols>
    <col min="1" max="1" width="10" style="3" customWidth="1"/>
    <col min="2" max="2" width="14" style="3" customWidth="1"/>
    <col min="3" max="4" width="32" style="3" customWidth="1"/>
    <col min="5" max="6" width="26" style="3" customWidth="1"/>
    <col min="7" max="8" width="12" style="3" customWidth="1"/>
    <col min="9" max="9" width="16" style="3" customWidth="1"/>
    <col min="10" max="10" width="12" style="3" customWidth="1"/>
    <col min="11" max="11" width="23" style="3" customWidth="1"/>
    <col min="12" max="16384" width="8.7109375" style="3"/>
  </cols>
  <sheetData>
    <row r="1" spans="1:11" ht="28.5">
      <c r="A1" s="1" t="s">
        <v>233</v>
      </c>
      <c r="B1" s="1" t="s">
        <v>234</v>
      </c>
      <c r="C1" s="1" t="s">
        <v>235</v>
      </c>
      <c r="D1" s="1" t="s">
        <v>236</v>
      </c>
      <c r="E1" s="1" t="s">
        <v>237</v>
      </c>
      <c r="F1" s="1" t="s">
        <v>238</v>
      </c>
      <c r="G1" s="1" t="s">
        <v>239</v>
      </c>
      <c r="H1" s="1" t="s">
        <v>240</v>
      </c>
      <c r="I1" s="1" t="s">
        <v>241</v>
      </c>
      <c r="J1" s="1" t="s">
        <v>30</v>
      </c>
      <c r="K1" s="1" t="s">
        <v>242</v>
      </c>
    </row>
    <row r="2" spans="1:11" ht="72">
      <c r="A2" s="5" t="s">
        <v>243</v>
      </c>
      <c r="B2" s="5" t="s">
        <v>45</v>
      </c>
      <c r="C2" s="5" t="s">
        <v>244</v>
      </c>
      <c r="D2" s="5" t="s">
        <v>245</v>
      </c>
      <c r="E2" s="5" t="s">
        <v>246</v>
      </c>
      <c r="F2" s="5" t="s">
        <v>247</v>
      </c>
      <c r="G2" s="5" t="s">
        <v>248</v>
      </c>
      <c r="H2" s="5" t="s">
        <v>248</v>
      </c>
      <c r="I2" s="5" t="s">
        <v>249</v>
      </c>
      <c r="J2" s="5" t="s">
        <v>250</v>
      </c>
      <c r="K2" s="5" t="s">
        <v>251</v>
      </c>
    </row>
    <row r="3" spans="1:11" ht="84">
      <c r="A3" s="5" t="s">
        <v>252</v>
      </c>
      <c r="B3" s="5" t="s">
        <v>53</v>
      </c>
      <c r="C3" s="5" t="s">
        <v>253</v>
      </c>
      <c r="D3" s="5" t="s">
        <v>254</v>
      </c>
      <c r="E3" s="5" t="s">
        <v>255</v>
      </c>
      <c r="F3" s="5" t="s">
        <v>256</v>
      </c>
      <c r="G3" s="5" t="s">
        <v>248</v>
      </c>
      <c r="H3" s="5" t="s">
        <v>248</v>
      </c>
      <c r="I3" s="5" t="s">
        <v>249</v>
      </c>
      <c r="J3" s="5" t="s">
        <v>250</v>
      </c>
      <c r="K3" s="5" t="s">
        <v>257</v>
      </c>
    </row>
    <row r="4" spans="1:11" ht="72">
      <c r="A4" s="5" t="s">
        <v>258</v>
      </c>
      <c r="B4" s="5" t="s">
        <v>61</v>
      </c>
      <c r="C4" s="5" t="s">
        <v>259</v>
      </c>
      <c r="D4" s="5" t="s">
        <v>260</v>
      </c>
      <c r="E4" s="5" t="s">
        <v>261</v>
      </c>
      <c r="F4" s="3" t="s">
        <v>262</v>
      </c>
      <c r="G4" s="5" t="s">
        <v>248</v>
      </c>
      <c r="H4" s="5" t="s">
        <v>248</v>
      </c>
      <c r="I4" s="5" t="s">
        <v>249</v>
      </c>
      <c r="J4" s="5" t="s">
        <v>250</v>
      </c>
      <c r="K4" s="5" t="s">
        <v>263</v>
      </c>
    </row>
    <row r="5" spans="1:11" ht="60">
      <c r="A5" s="5" t="s">
        <v>264</v>
      </c>
      <c r="B5" s="5" t="s">
        <v>115</v>
      </c>
      <c r="C5" s="5" t="s">
        <v>265</v>
      </c>
      <c r="D5" s="5" t="s">
        <v>266</v>
      </c>
      <c r="E5" s="5" t="s">
        <v>267</v>
      </c>
      <c r="F5" s="5" t="s">
        <v>268</v>
      </c>
      <c r="G5" s="5" t="s">
        <v>248</v>
      </c>
      <c r="H5" s="5" t="s">
        <v>248</v>
      </c>
      <c r="I5" s="5" t="s">
        <v>249</v>
      </c>
      <c r="J5" s="5" t="s">
        <v>250</v>
      </c>
      <c r="K5" s="5" t="s">
        <v>269</v>
      </c>
    </row>
    <row r="6" spans="1:11" ht="48">
      <c r="A6" s="5" t="s">
        <v>270</v>
      </c>
      <c r="B6" s="5" t="s">
        <v>121</v>
      </c>
      <c r="C6" s="5" t="s">
        <v>271</v>
      </c>
      <c r="D6" s="5" t="s">
        <v>272</v>
      </c>
      <c r="E6" s="5" t="s">
        <v>273</v>
      </c>
      <c r="F6" s="5" t="s">
        <v>274</v>
      </c>
      <c r="G6" s="5" t="s">
        <v>248</v>
      </c>
      <c r="H6" s="5" t="s">
        <v>248</v>
      </c>
      <c r="I6" s="5" t="s">
        <v>249</v>
      </c>
      <c r="J6" s="5" t="s">
        <v>250</v>
      </c>
      <c r="K6" s="5" t="s">
        <v>275</v>
      </c>
    </row>
    <row r="7" spans="1:11" ht="60">
      <c r="A7" s="5" t="s">
        <v>276</v>
      </c>
      <c r="B7" s="5" t="s">
        <v>123</v>
      </c>
      <c r="C7" s="5" t="s">
        <v>277</v>
      </c>
      <c r="D7" s="5" t="s">
        <v>278</v>
      </c>
      <c r="E7" s="5" t="s">
        <v>279</v>
      </c>
      <c r="F7" s="5" t="s">
        <v>280</v>
      </c>
      <c r="G7" s="5" t="s">
        <v>248</v>
      </c>
      <c r="H7" s="5" t="s">
        <v>248</v>
      </c>
      <c r="I7" s="5" t="s">
        <v>249</v>
      </c>
      <c r="J7" s="5" t="s">
        <v>250</v>
      </c>
      <c r="K7" s="5" t="s">
        <v>281</v>
      </c>
    </row>
    <row r="8" spans="1:11" ht="48">
      <c r="A8" s="5" t="s">
        <v>282</v>
      </c>
      <c r="B8" s="5" t="s">
        <v>141</v>
      </c>
      <c r="C8" s="5" t="s">
        <v>283</v>
      </c>
      <c r="D8" s="5" t="s">
        <v>284</v>
      </c>
      <c r="E8" s="5" t="s">
        <v>285</v>
      </c>
      <c r="F8" s="5" t="s">
        <v>286</v>
      </c>
      <c r="G8" s="5" t="s">
        <v>287</v>
      </c>
      <c r="H8" s="5" t="s">
        <v>248</v>
      </c>
      <c r="I8" s="5" t="s">
        <v>249</v>
      </c>
      <c r="J8" s="5" t="s">
        <v>250</v>
      </c>
      <c r="K8" s="5" t="s">
        <v>288</v>
      </c>
    </row>
    <row r="9" spans="1:11" ht="60">
      <c r="A9" s="5" t="s">
        <v>289</v>
      </c>
      <c r="B9" s="5" t="s">
        <v>151</v>
      </c>
      <c r="C9" s="5" t="s">
        <v>290</v>
      </c>
      <c r="D9" s="5" t="s">
        <v>291</v>
      </c>
      <c r="E9" s="5" t="s">
        <v>292</v>
      </c>
      <c r="F9" s="5" t="s">
        <v>293</v>
      </c>
      <c r="G9" s="5" t="s">
        <v>248</v>
      </c>
      <c r="H9" s="5" t="s">
        <v>248</v>
      </c>
      <c r="I9" s="5" t="s">
        <v>249</v>
      </c>
      <c r="J9" s="5" t="s">
        <v>250</v>
      </c>
      <c r="K9" s="5" t="s">
        <v>294</v>
      </c>
    </row>
    <row r="10" spans="1:11" ht="84">
      <c r="A10" s="5" t="s">
        <v>295</v>
      </c>
      <c r="B10" s="5" t="s">
        <v>167</v>
      </c>
      <c r="C10" s="5" t="s">
        <v>296</v>
      </c>
      <c r="D10" s="5" t="s">
        <v>297</v>
      </c>
      <c r="E10" s="5" t="s">
        <v>298</v>
      </c>
      <c r="F10" s="5" t="s">
        <v>299</v>
      </c>
      <c r="G10" s="5" t="s">
        <v>287</v>
      </c>
      <c r="H10" s="5" t="s">
        <v>248</v>
      </c>
      <c r="I10" s="5" t="s">
        <v>249</v>
      </c>
      <c r="J10" s="5" t="s">
        <v>250</v>
      </c>
      <c r="K10" s="5" t="s">
        <v>300</v>
      </c>
    </row>
    <row r="11" spans="1:11">
      <c r="A11" s="2"/>
      <c r="B11" s="2"/>
      <c r="C11" s="2"/>
      <c r="D11" s="2"/>
      <c r="E11" s="2"/>
      <c r="F11" s="2"/>
      <c r="G11" s="4"/>
      <c r="H11" s="4"/>
      <c r="I11" s="4"/>
      <c r="J11" s="4"/>
      <c r="K11" s="2"/>
    </row>
    <row r="12" spans="1:11">
      <c r="G12" s="4"/>
      <c r="H12" s="4"/>
      <c r="I12" s="4"/>
      <c r="J12" s="4"/>
    </row>
    <row r="13" spans="1:11">
      <c r="G13" s="4"/>
      <c r="H13" s="4"/>
      <c r="I13" s="4"/>
      <c r="J13" s="4"/>
    </row>
    <row r="14" spans="1:11">
      <c r="I14" s="4"/>
    </row>
    <row r="15" spans="1:11">
      <c r="I15" s="4"/>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330A2-D4EF-4424-AC91-51D99FE657C4}">
  <dimension ref="A1:H26"/>
  <sheetViews>
    <sheetView topLeftCell="A19" workbookViewId="0">
      <selection activeCell="C15" sqref="C15"/>
    </sheetView>
  </sheetViews>
  <sheetFormatPr defaultColWidth="22.5703125" defaultRowHeight="150.75" customHeight="1"/>
  <cols>
    <col min="1" max="1" width="14.5703125" style="3" customWidth="1"/>
    <col min="2" max="2" width="40" style="3" customWidth="1"/>
    <col min="3" max="3" width="24.42578125" style="3" customWidth="1"/>
    <col min="4" max="5" width="26.140625" style="3" customWidth="1"/>
    <col min="6" max="7" width="22.5703125" style="3"/>
    <col min="8" max="8" width="13.28515625" style="3" customWidth="1"/>
    <col min="9" max="16384" width="22.5703125" style="3"/>
  </cols>
  <sheetData>
    <row r="1" spans="1:8" ht="48.75" customHeight="1">
      <c r="A1" s="11" t="s">
        <v>28</v>
      </c>
      <c r="B1" s="11" t="s">
        <v>29</v>
      </c>
      <c r="C1" s="11" t="s">
        <v>301</v>
      </c>
      <c r="D1" s="11" t="s">
        <v>302</v>
      </c>
      <c r="E1" s="11" t="s">
        <v>303</v>
      </c>
      <c r="F1" s="11" t="s">
        <v>237</v>
      </c>
      <c r="G1" s="11" t="s">
        <v>238</v>
      </c>
      <c r="H1" s="11" t="s">
        <v>30</v>
      </c>
    </row>
    <row r="2" spans="1:8" ht="150.75" customHeight="1">
      <c r="A2" s="12" t="s">
        <v>31</v>
      </c>
      <c r="B2" s="3" t="s">
        <v>32</v>
      </c>
      <c r="C2" s="3" t="s">
        <v>304</v>
      </c>
      <c r="D2" s="3" t="s">
        <v>305</v>
      </c>
      <c r="E2" s="3" t="s">
        <v>306</v>
      </c>
      <c r="F2" s="3" t="s">
        <v>307</v>
      </c>
      <c r="G2" s="3" t="s">
        <v>307</v>
      </c>
      <c r="H2" s="13" t="s">
        <v>308</v>
      </c>
    </row>
    <row r="3" spans="1:8" ht="78" customHeight="1">
      <c r="A3" s="10" t="s">
        <v>41</v>
      </c>
      <c r="B3" s="13" t="s">
        <v>42</v>
      </c>
      <c r="C3" s="13" t="s">
        <v>309</v>
      </c>
      <c r="D3" s="13" t="s">
        <v>310</v>
      </c>
      <c r="E3" s="13" t="s">
        <v>311</v>
      </c>
      <c r="F3" s="13" t="s">
        <v>312</v>
      </c>
      <c r="G3" s="13" t="s">
        <v>313</v>
      </c>
      <c r="H3" s="13" t="s">
        <v>308</v>
      </c>
    </row>
    <row r="4" spans="1:8" ht="78" customHeight="1">
      <c r="A4" s="10" t="s">
        <v>45</v>
      </c>
      <c r="B4" s="6" t="s">
        <v>46</v>
      </c>
      <c r="C4" s="14" t="s">
        <v>314</v>
      </c>
      <c r="D4" s="15" t="s">
        <v>245</v>
      </c>
      <c r="E4" s="14" t="s">
        <v>315</v>
      </c>
      <c r="F4" s="14" t="s">
        <v>316</v>
      </c>
      <c r="G4" s="14" t="s">
        <v>317</v>
      </c>
      <c r="H4" s="3" t="s">
        <v>318</v>
      </c>
    </row>
    <row r="5" spans="1:8" ht="120.75" customHeight="1">
      <c r="A5" s="10" t="s">
        <v>53</v>
      </c>
      <c r="B5" s="3" t="s">
        <v>54</v>
      </c>
      <c r="C5" s="3" t="s">
        <v>304</v>
      </c>
      <c r="D5" s="3" t="s">
        <v>319</v>
      </c>
      <c r="E5" s="3" t="s">
        <v>320</v>
      </c>
      <c r="F5" s="3" t="s">
        <v>321</v>
      </c>
      <c r="G5" s="3" t="s">
        <v>322</v>
      </c>
      <c r="H5" s="3" t="s">
        <v>318</v>
      </c>
    </row>
    <row r="6" spans="1:8" ht="108" customHeight="1">
      <c r="A6" s="10" t="s">
        <v>61</v>
      </c>
      <c r="B6" s="6" t="s">
        <v>62</v>
      </c>
      <c r="C6" s="3" t="s">
        <v>304</v>
      </c>
      <c r="D6" s="3" t="s">
        <v>323</v>
      </c>
      <c r="E6" s="3" t="s">
        <v>324</v>
      </c>
      <c r="F6" s="3" t="s">
        <v>325</v>
      </c>
      <c r="G6" s="3" t="s">
        <v>262</v>
      </c>
      <c r="H6" s="3" t="s">
        <v>318</v>
      </c>
    </row>
    <row r="7" spans="1:8" ht="91.5" customHeight="1">
      <c r="A7" s="10" t="s">
        <v>73</v>
      </c>
      <c r="B7" s="6" t="s">
        <v>74</v>
      </c>
      <c r="C7" s="3" t="s">
        <v>314</v>
      </c>
      <c r="D7" s="3" t="s">
        <v>326</v>
      </c>
      <c r="E7" s="3" t="s">
        <v>327</v>
      </c>
      <c r="F7" s="3" t="s">
        <v>328</v>
      </c>
      <c r="G7" s="3" t="s">
        <v>329</v>
      </c>
      <c r="H7" s="3" t="s">
        <v>308</v>
      </c>
    </row>
    <row r="8" spans="1:8" ht="107.25" customHeight="1">
      <c r="A8" s="10" t="s">
        <v>89</v>
      </c>
      <c r="B8" s="6" t="s">
        <v>90</v>
      </c>
      <c r="C8" s="3" t="s">
        <v>314</v>
      </c>
      <c r="D8" s="3" t="s">
        <v>330</v>
      </c>
      <c r="E8" s="3" t="s">
        <v>331</v>
      </c>
      <c r="F8" s="3" t="s">
        <v>332</v>
      </c>
      <c r="G8" s="3" t="s">
        <v>329</v>
      </c>
      <c r="H8" s="3" t="s">
        <v>308</v>
      </c>
    </row>
    <row r="9" spans="1:8" ht="89.25" customHeight="1">
      <c r="A9" s="10" t="s">
        <v>111</v>
      </c>
      <c r="B9" s="6" t="s">
        <v>112</v>
      </c>
      <c r="C9" s="13" t="s">
        <v>314</v>
      </c>
      <c r="D9" s="13" t="s">
        <v>333</v>
      </c>
      <c r="E9" s="13" t="s">
        <v>334</v>
      </c>
      <c r="F9" s="13" t="s">
        <v>335</v>
      </c>
      <c r="G9" s="13" t="s">
        <v>329</v>
      </c>
      <c r="H9" s="3" t="s">
        <v>308</v>
      </c>
    </row>
    <row r="10" spans="1:8" ht="89.25" customHeight="1">
      <c r="A10" s="13" t="s">
        <v>115</v>
      </c>
      <c r="B10" s="13" t="s">
        <v>116</v>
      </c>
      <c r="C10" s="13" t="s">
        <v>314</v>
      </c>
      <c r="D10" s="13" t="s">
        <v>336</v>
      </c>
      <c r="E10" s="13" t="s">
        <v>337</v>
      </c>
      <c r="F10" s="13" t="s">
        <v>338</v>
      </c>
      <c r="G10" s="13" t="s">
        <v>268</v>
      </c>
      <c r="H10" s="3" t="s">
        <v>318</v>
      </c>
    </row>
    <row r="11" spans="1:8" ht="89.25" customHeight="1">
      <c r="A11" s="13" t="s">
        <v>121</v>
      </c>
      <c r="B11" s="13" t="s">
        <v>339</v>
      </c>
      <c r="C11" s="13" t="s">
        <v>314</v>
      </c>
      <c r="D11" s="13" t="s">
        <v>340</v>
      </c>
      <c r="E11" s="13" t="s">
        <v>341</v>
      </c>
      <c r="F11" s="13" t="s">
        <v>342</v>
      </c>
      <c r="G11" s="13" t="s">
        <v>274</v>
      </c>
      <c r="H11" s="3" t="s">
        <v>318</v>
      </c>
    </row>
    <row r="12" spans="1:8" ht="96.75" customHeight="1">
      <c r="A12" s="13" t="s">
        <v>123</v>
      </c>
      <c r="B12" s="13" t="s">
        <v>124</v>
      </c>
      <c r="C12" s="13" t="s">
        <v>314</v>
      </c>
      <c r="D12" s="13" t="s">
        <v>343</v>
      </c>
      <c r="E12" s="13" t="s">
        <v>344</v>
      </c>
      <c r="F12" s="13" t="s">
        <v>345</v>
      </c>
      <c r="G12" s="13" t="s">
        <v>346</v>
      </c>
      <c r="H12" s="3" t="s">
        <v>318</v>
      </c>
    </row>
    <row r="13" spans="1:8" ht="101.25" customHeight="1">
      <c r="A13" s="10" t="s">
        <v>125</v>
      </c>
      <c r="B13" s="6" t="s">
        <v>126</v>
      </c>
      <c r="C13" s="13" t="s">
        <v>314</v>
      </c>
      <c r="D13" s="13" t="s">
        <v>347</v>
      </c>
      <c r="E13" s="13" t="s">
        <v>348</v>
      </c>
      <c r="F13" s="13" t="s">
        <v>349</v>
      </c>
      <c r="G13" s="13" t="s">
        <v>350</v>
      </c>
      <c r="H13" s="13" t="s">
        <v>308</v>
      </c>
    </row>
    <row r="14" spans="1:8" ht="111" customHeight="1">
      <c r="A14" s="10" t="s">
        <v>171</v>
      </c>
      <c r="B14" s="6" t="s">
        <v>172</v>
      </c>
      <c r="C14" s="13" t="s">
        <v>351</v>
      </c>
      <c r="D14" s="13" t="s">
        <v>352</v>
      </c>
      <c r="E14" s="13" t="s">
        <v>353</v>
      </c>
      <c r="F14" s="13" t="s">
        <v>354</v>
      </c>
      <c r="G14" s="13" t="s">
        <v>355</v>
      </c>
      <c r="H14" s="13" t="s">
        <v>308</v>
      </c>
    </row>
    <row r="15" spans="1:8" ht="96.75" customHeight="1">
      <c r="A15" s="10" t="s">
        <v>175</v>
      </c>
      <c r="B15" s="6" t="s">
        <v>176</v>
      </c>
      <c r="C15" s="13" t="s">
        <v>356</v>
      </c>
      <c r="D15" s="13" t="s">
        <v>357</v>
      </c>
      <c r="E15" s="13" t="s">
        <v>358</v>
      </c>
      <c r="F15" s="13" t="s">
        <v>359</v>
      </c>
      <c r="G15" s="13" t="s">
        <v>360</v>
      </c>
      <c r="H15" s="13" t="s">
        <v>308</v>
      </c>
    </row>
    <row r="16" spans="1:8" ht="87" customHeight="1">
      <c r="A16" s="10" t="s">
        <v>137</v>
      </c>
      <c r="B16" s="6" t="s">
        <v>138</v>
      </c>
      <c r="C16" s="13" t="s">
        <v>361</v>
      </c>
      <c r="D16" s="13" t="s">
        <v>362</v>
      </c>
      <c r="E16" s="13" t="s">
        <v>363</v>
      </c>
      <c r="F16" s="13" t="s">
        <v>364</v>
      </c>
      <c r="G16" s="13" t="s">
        <v>365</v>
      </c>
      <c r="H16" s="13" t="s">
        <v>308</v>
      </c>
    </row>
    <row r="17" spans="1:8" ht="89.25" customHeight="1">
      <c r="A17" s="10" t="s">
        <v>155</v>
      </c>
      <c r="B17" s="6" t="s">
        <v>156</v>
      </c>
      <c r="C17" s="13" t="s">
        <v>361</v>
      </c>
      <c r="D17" s="13" t="s">
        <v>366</v>
      </c>
      <c r="E17" s="13" t="s">
        <v>367</v>
      </c>
      <c r="F17" s="13" t="s">
        <v>368</v>
      </c>
      <c r="G17" s="13" t="s">
        <v>369</v>
      </c>
      <c r="H17" s="13" t="s">
        <v>308</v>
      </c>
    </row>
    <row r="18" spans="1:8" ht="89.25" customHeight="1">
      <c r="A18" s="13" t="s">
        <v>141</v>
      </c>
      <c r="B18" s="6" t="s">
        <v>370</v>
      </c>
      <c r="C18" s="13" t="s">
        <v>356</v>
      </c>
      <c r="D18" s="13" t="s">
        <v>371</v>
      </c>
      <c r="E18" s="13" t="s">
        <v>372</v>
      </c>
      <c r="F18" s="13" t="s">
        <v>373</v>
      </c>
      <c r="G18" s="13" t="s">
        <v>374</v>
      </c>
      <c r="H18" s="13" t="s">
        <v>318</v>
      </c>
    </row>
    <row r="19" spans="1:8" ht="89.25" customHeight="1">
      <c r="A19" s="13" t="s">
        <v>151</v>
      </c>
      <c r="B19" s="13" t="s">
        <v>152</v>
      </c>
      <c r="C19" s="13" t="s">
        <v>361</v>
      </c>
      <c r="D19" s="13" t="s">
        <v>375</v>
      </c>
      <c r="E19" s="13" t="s">
        <v>294</v>
      </c>
      <c r="F19" s="13" t="s">
        <v>292</v>
      </c>
      <c r="G19" s="13" t="s">
        <v>376</v>
      </c>
      <c r="H19" s="13" t="s">
        <v>318</v>
      </c>
    </row>
    <row r="20" spans="1:8" ht="101.25" customHeight="1">
      <c r="A20" s="10" t="s">
        <v>167</v>
      </c>
      <c r="B20" s="6" t="s">
        <v>168</v>
      </c>
      <c r="C20" s="13" t="s">
        <v>377</v>
      </c>
      <c r="D20" s="13" t="s">
        <v>378</v>
      </c>
      <c r="E20" s="13" t="s">
        <v>379</v>
      </c>
      <c r="F20" s="13" t="s">
        <v>380</v>
      </c>
      <c r="G20" s="13" t="s">
        <v>381</v>
      </c>
      <c r="H20" s="13" t="s">
        <v>318</v>
      </c>
    </row>
    <row r="21" spans="1:8" ht="93" customHeight="1">
      <c r="A21" s="10" t="s">
        <v>169</v>
      </c>
      <c r="B21" s="6" t="s">
        <v>170</v>
      </c>
      <c r="C21" s="13" t="s">
        <v>382</v>
      </c>
      <c r="D21" s="13" t="s">
        <v>383</v>
      </c>
      <c r="E21" s="13" t="s">
        <v>384</v>
      </c>
      <c r="F21" s="13" t="s">
        <v>385</v>
      </c>
      <c r="G21" s="13" t="s">
        <v>386</v>
      </c>
      <c r="H21" s="13" t="s">
        <v>308</v>
      </c>
    </row>
    <row r="22" spans="1:8" ht="73.5" customHeight="1">
      <c r="A22" s="10" t="s">
        <v>179</v>
      </c>
      <c r="B22" s="6" t="s">
        <v>180</v>
      </c>
      <c r="C22" s="13" t="s">
        <v>387</v>
      </c>
      <c r="D22" s="13" t="s">
        <v>388</v>
      </c>
      <c r="E22" s="13" t="s">
        <v>294</v>
      </c>
      <c r="F22" s="13" t="s">
        <v>389</v>
      </c>
      <c r="G22" s="13" t="s">
        <v>390</v>
      </c>
      <c r="H22" s="13" t="s">
        <v>308</v>
      </c>
    </row>
    <row r="23" spans="1:8" ht="72" customHeight="1">
      <c r="A23" s="10" t="s">
        <v>189</v>
      </c>
      <c r="B23" s="6" t="s">
        <v>190</v>
      </c>
      <c r="C23" s="13" t="s">
        <v>387</v>
      </c>
      <c r="D23" s="13" t="s">
        <v>391</v>
      </c>
      <c r="E23" s="13" t="s">
        <v>294</v>
      </c>
      <c r="F23" s="13" t="s">
        <v>392</v>
      </c>
      <c r="G23" s="13" t="s">
        <v>393</v>
      </c>
      <c r="H23" s="13" t="s">
        <v>308</v>
      </c>
    </row>
    <row r="24" spans="1:8" ht="71.25" customHeight="1">
      <c r="A24" s="10" t="s">
        <v>203</v>
      </c>
      <c r="B24" s="6" t="s">
        <v>204</v>
      </c>
      <c r="C24" s="13" t="s">
        <v>387</v>
      </c>
      <c r="D24" s="13" t="s">
        <v>394</v>
      </c>
      <c r="E24" s="13" t="s">
        <v>294</v>
      </c>
      <c r="F24" s="13" t="s">
        <v>395</v>
      </c>
      <c r="G24" s="13" t="s">
        <v>396</v>
      </c>
      <c r="H24" s="13" t="s">
        <v>308</v>
      </c>
    </row>
    <row r="25" spans="1:8" ht="75.75" customHeight="1">
      <c r="A25" s="10" t="s">
        <v>209</v>
      </c>
      <c r="B25" s="6" t="s">
        <v>210</v>
      </c>
      <c r="C25" s="13" t="s">
        <v>397</v>
      </c>
      <c r="D25" s="13" t="s">
        <v>398</v>
      </c>
      <c r="E25" s="13" t="s">
        <v>294</v>
      </c>
      <c r="F25" s="13" t="s">
        <v>399</v>
      </c>
      <c r="G25" s="13" t="s">
        <v>400</v>
      </c>
      <c r="H25" s="13" t="s">
        <v>308</v>
      </c>
    </row>
    <row r="26" spans="1:8" ht="72" customHeight="1">
      <c r="A26" s="10" t="s">
        <v>231</v>
      </c>
      <c r="B26" s="6" t="s">
        <v>232</v>
      </c>
      <c r="C26" s="13" t="s">
        <v>401</v>
      </c>
      <c r="D26" s="13" t="s">
        <v>402</v>
      </c>
      <c r="E26" s="13" t="s">
        <v>294</v>
      </c>
      <c r="F26" s="13" t="s">
        <v>403</v>
      </c>
      <c r="G26" s="13" t="s">
        <v>404</v>
      </c>
      <c r="H26" s="13"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2026-08-15T14:45:02Z</dcterms:created>
  <dcterms:modified xsi:type="dcterms:W3CDTF">2026-08-16T23:25:36Z</dcterms:modified>
  <cp:category/>
  <cp:contentStatus/>
</cp:coreProperties>
</file>